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לקוחות פוטנציאליים" sheetId="1" state="visible" r:id="rId3"/>
    <sheet name="סיכום" sheetId="2" state="visible" r:id="rId4"/>
  </sheets>
  <definedNames>
    <definedName function="false" hidden="true" localSheetId="0" name="_xlnm._FilterDatabase" vbProcedure="false">'לקוחות פוטנציאליים'!$A$4:$M$104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<sst xmlns="http://schemas.openxmlformats.org/spreadsheetml/2006/main" count="1025" uniqueCount="650">
  <si>
    <t xml:space="preserve">JaSale — 100 לקוחות פוטנציאליים בישראל</t>
  </si>
  <si>
    <t xml:space="preserve">חברות עם סוכני שטח שמבקרים בחנויות ובלקוחות. מידע ציבורי ברמת החברה בלבד, נאסף מאתרי החברות וממדריכים (עמודת "מקור"). כדאי לאמת איש קשר לפני פנייה. עמודות סטטוס, תאריך והערות נועדו למעקב שלכם.</t>
  </si>
  <si>
    <t xml:space="preserve">#</t>
  </si>
  <si>
    <t xml:space="preserve">תחום-על</t>
  </si>
  <si>
    <t xml:space="preserve">שם החברה</t>
  </si>
  <si>
    <t xml:space="preserve">תחום</t>
  </si>
  <si>
    <t xml:space="preserve">מה הם מוכרים / למי</t>
  </si>
  <si>
    <t xml:space="preserve">למה רלוונטי ל-JaSale</t>
  </si>
  <si>
    <t xml:space="preserve">עיר</t>
  </si>
  <si>
    <t xml:space="preserve">אתר</t>
  </si>
  <si>
    <t xml:space="preserve">טלפון/מייל כללי</t>
  </si>
  <si>
    <t xml:space="preserve">מקור</t>
  </si>
  <si>
    <t xml:space="preserve">סטטוס פנייה</t>
  </si>
  <si>
    <t xml:space="preserve">תאריך פנייה</t>
  </si>
  <si>
    <t xml:space="preserve">הערות</t>
  </si>
  <si>
    <t xml:space="preserve">קוסמטיקה, בישום ופארם</t>
  </si>
  <si>
    <t xml:space="preserve">ש. שסטוביץ</t>
  </si>
  <si>
    <t xml:space="preserve">יבוא בשמים, קוסמטיקה וטואלטיקה (וגם מזון)</t>
  </si>
  <si>
    <t xml:space="preserve">Colgate, Palmolive, Revlon ועוד; מוכרים לרשתות פארם, לסופרמרקטים ולחנויות</t>
  </si>
  <si>
    <t xml:space="preserve">יבואן רשמי ותיק עם הפצה רחבה לקמעונאות</t>
  </si>
  <si>
    <t xml:space="preserve">—</t>
  </si>
  <si>
    <t xml:space="preserve">schestowitz.co.il</t>
  </si>
  <si>
    <t xml:space="preserve">קישור למקור</t>
  </si>
  <si>
    <t xml:space="preserve">לא פנינו</t>
  </si>
  <si>
    <t xml:space="preserve">אלפא חברה לקוסמטיקה (Alpa)</t>
  </si>
  <si>
    <t xml:space="preserve">יבוא, שיווק והפצה של בשמים וקוסמטיקה</t>
  </si>
  <si>
    <t xml:space="preserve">Chanel, Clarins, Elizabeth Arden, Nivea, Bvlgari ועוד; מוכרים לרשתות ולחנויות בשמים</t>
  </si>
  <si>
    <t xml:space="preserve">יבואנית בשמים גדולה שמוכרת לרשתות ולחנויות פרטיות</t>
  </si>
  <si>
    <t xml:space="preserve">הרצליה פיתוח</t>
  </si>
  <si>
    <t xml:space="preserve">alpa-cosmetics.co.il</t>
  </si>
  <si>
    <t xml:space="preserve">לילית קוסמטיקה</t>
  </si>
  <si>
    <t xml:space="preserve">יבוא והפצה של איפור, טיפוח ובשמים</t>
  </si>
  <si>
    <t xml:space="preserve">NARS, SPRING, JIVAGO, Nuxe, Payot ועוד; מוכרים לחנויות מתנות, לחנויות קוסמטיקה ולבתי מרקחת</t>
  </si>
  <si>
    <t xml:space="preserve">מעסיקה סוכני שטח (SPRING) לחנויות ולבתי מרקחת בכל הארץ</t>
  </si>
  <si>
    <t xml:space="preserve">שוהם</t>
  </si>
  <si>
    <t xml:space="preserve">lilit.co.il</t>
  </si>
  <si>
    <t xml:space="preserve">אלטמן בריאות</t>
  </si>
  <si>
    <t xml:space="preserve">תוספי תזונה וויטמינים</t>
  </si>
  <si>
    <t xml:space="preserve">ויטמינים, צמחי מרפא ופרוביוטיקה (בהם Solgar); מוכרים לבתי מרקחת, לרשתות ולחנויות טבע</t>
  </si>
  <si>
    <t xml:space="preserve">משווקת לאלפי נקודות מכירה, כולל מוצרים שנמכרים רק בבתי מרקחת</t>
  </si>
  <si>
    <t xml:space="preserve">אור יהודה</t>
  </si>
  <si>
    <t xml:space="preserve">altman.co.il</t>
  </si>
  <si>
    <t xml:space="preserve">*6505</t>
  </si>
  <si>
    <t xml:space="preserve">אמברוזיה סופהרב (Supherb)</t>
  </si>
  <si>
    <t xml:space="preserve">ייצור תוספי תזונה</t>
  </si>
  <si>
    <t xml:space="preserve">ויטמינים, מינרלים וצמחי מרפא; מוכרים לחנויות טבע ולבתי מרקחת</t>
  </si>
  <si>
    <t xml:space="preserve">יצרן ישראלי שמוכר לחנויות פיזיות רבות</t>
  </si>
  <si>
    <t xml:space="preserve">נתניה</t>
  </si>
  <si>
    <t xml:space="preserve">supherb.co.il</t>
  </si>
  <si>
    <t xml:space="preserve">שיק קוסמטיק תעשיות (שיק / חלאבין)</t>
  </si>
  <si>
    <t xml:space="preserve">ייצור קוסמטיקה, טיפוח ושיער</t>
  </si>
  <si>
    <t xml:space="preserve">מותגי Chic ו-Hlavin: טיפוח, שיער, לק, בשמים; לצרכנים ולשוק המקצועי</t>
  </si>
  <si>
    <t xml:space="preserve">יצרנית ישראלית עם מערך שיווק לשוק המקצועי ולקמעונאות</t>
  </si>
  <si>
    <t xml:space="preserve">יבנה</t>
  </si>
  <si>
    <t xml:space="preserve">chichlavin.com</t>
  </si>
  <si>
    <t xml:space="preserve">08-9426665</t>
  </si>
  <si>
    <t xml:space="preserve">תשלובת ד"ר פישר</t>
  </si>
  <si>
    <t xml:space="preserve">דרמו-קוסמטיקה, תינוקות והגנה מהשמש</t>
  </si>
  <si>
    <t xml:space="preserve">Ultrasol, Kamil Blue, Sarkel, Genesis; מוכרים לבתי מרקחת ולרשתות פארם</t>
  </si>
  <si>
    <t xml:space="preserve">מותגי מדף בבתי מרקחת שצריכים שירות סוכנים שוטף</t>
  </si>
  <si>
    <t xml:space="preserve">dr-fischer.co.il</t>
  </si>
  <si>
    <t xml:space="preserve">אנה לוטן</t>
  </si>
  <si>
    <t xml:space="preserve">ייצור קוסמטיקה מקצועית</t>
  </si>
  <si>
    <t xml:space="preserve">טיפוח מקצועי וביתי; מוכרים לקוסמטיקאיות ולקליניקות</t>
  </si>
  <si>
    <t xml:space="preserve">ספקית שמוכרת לאלפי קוסמטיקאיות, כל אחת לקוח B2B קטן</t>
  </si>
  <si>
    <t xml:space="preserve">אור עקיבא</t>
  </si>
  <si>
    <t xml:space="preserve">annalotan.com</t>
  </si>
  <si>
    <t xml:space="preserve">contact@annalotan.com</t>
  </si>
  <si>
    <t xml:space="preserve">רקח תעשיות פרמצבטיות</t>
  </si>
  <si>
    <t xml:space="preserve">תרופות OTC, דרמו-קוסמטיקה ותוספים</t>
  </si>
  <si>
    <t xml:space="preserve">כ-300 מוצרים כולל OTC, צמחי מרפא וויטמינים; מוכרים לבתי מרקחת</t>
  </si>
  <si>
    <t xml:space="preserve">יצרן ומפיץ שמוכר ישירות לבתי מרקחת</t>
  </si>
  <si>
    <t xml:space="preserve">חולון</t>
  </si>
  <si>
    <t xml:space="preserve">rekah.co.il</t>
  </si>
  <si>
    <t xml:space="preserve">03-5581233 / INFO@REKAH.CO.IL</t>
  </si>
  <si>
    <t xml:space="preserve">מעבדות GIGI</t>
  </si>
  <si>
    <t xml:space="preserve">ייצור דרמו-קוסמטיקה מקצועית</t>
  </si>
  <si>
    <t xml:space="preserve">מעל 300 מוצרים; מוכרים לקוסמטיקאיות מורשות</t>
  </si>
  <si>
    <t xml:space="preserve">מוכרים דרך רשת קוסמטיקאיות מורשות בכל הארץ</t>
  </si>
  <si>
    <t xml:space="preserve">פתח תקווה</t>
  </si>
  <si>
    <t xml:space="preserve">gigi.co.il</t>
  </si>
  <si>
    <t xml:space="preserve">03-9155683</t>
  </si>
  <si>
    <t xml:space="preserve">פארמה קוסמטיקס מעבדות (HL)</t>
  </si>
  <si>
    <t xml:space="preserve">ייצור ושיווק קוסמטיקה מקצועית</t>
  </si>
  <si>
    <t xml:space="preserve">המותגים HL, NEOVA ו-TRICOMIN; מוכרים לקוסמטיקאיות, לקליניקות ולרופאים</t>
  </si>
  <si>
    <t xml:space="preserve">מוכרים ומדריכים קוסמטיקאיות בשטח</t>
  </si>
  <si>
    <t xml:space="preserve">תל אביב (מפעל ביבנה)</t>
  </si>
  <si>
    <t xml:space="preserve">pharma-cosmetics.com</t>
  </si>
  <si>
    <t xml:space="preserve">03-5182388 / info@pharma-cosmetics.com</t>
  </si>
  <si>
    <t xml:space="preserve">קומרס ליין</t>
  </si>
  <si>
    <t xml:space="preserve">ייצור, שיווק והפצה של אביזרי יופי וטיפוח</t>
  </si>
  <si>
    <t xml:space="preserve">מניקור ופדיקור, אביזרי איפור, מוצרי כותנה, שמנים; מוכרים לרשתות פארם ולרשתות קמעונאיות</t>
  </si>
  <si>
    <t xml:space="preserve">מפיצה שמנהלת מדפים ברשתות פארם</t>
  </si>
  <si>
    <t xml:space="preserve">הרצליה</t>
  </si>
  <si>
    <t xml:space="preserve">commerce-line.co.il</t>
  </si>
  <si>
    <t xml:space="preserve">052-5770050</t>
  </si>
  <si>
    <t xml:space="preserve">K&amp;Care Organics</t>
  </si>
  <si>
    <t xml:space="preserve">יבוא ושיווק של דרמו-קוסמטיקה וטיפוח טבעי</t>
  </si>
  <si>
    <t xml:space="preserve">LEAVES, JASON, Avalon Organics, BOTAÓ; מוכרים לפארם ולחנויות טבע</t>
  </si>
  <si>
    <t xml:space="preserve">יבואנית קטנה-בינונית שמוכרת לנקודות מכירה רבות</t>
  </si>
  <si>
    <t xml:space="preserve">מכמורת</t>
  </si>
  <si>
    <t xml:space="preserve">kcare.co.il</t>
  </si>
  <si>
    <t xml:space="preserve">info@kcare.co.il</t>
  </si>
  <si>
    <t xml:space="preserve">Fine Rituals</t>
  </si>
  <si>
    <t xml:space="preserve">יבוא ומפיץ בלעדי של טיפוח, בשמים ותוספים</t>
  </si>
  <si>
    <t xml:space="preserve">111SKIN, Apotheke ועוד; מוכרים לבתי מרקחת, למכוני יופי, לספא ולקליניקות</t>
  </si>
  <si>
    <t xml:space="preserve">מעל 5,000 נקודות מכירה בישראל</t>
  </si>
  <si>
    <t xml:space="preserve">fine-rituals.com</t>
  </si>
  <si>
    <t xml:space="preserve">הייר-לייף</t>
  </si>
  <si>
    <t xml:space="preserve">יבוא ושיווק מוצרים וציוד למספרות</t>
  </si>
  <si>
    <t xml:space="preserve">מותגי שיער מקצועיים ואיפור (Boaz Stein, MALU WILZ); מוכרים למספרות</t>
  </si>
  <si>
    <t xml:space="preserve">מפיצה שמוכרת למספרות (לקוחות B2B קטנים ורבים)</t>
  </si>
  <si>
    <t xml:space="preserve">כפר סבא</t>
  </si>
  <si>
    <t xml:space="preserve">hairlife.co.il</t>
  </si>
  <si>
    <t xml:space="preserve">072-3218561</t>
  </si>
  <si>
    <t xml:space="preserve">גדעון קוסמטיקס</t>
  </si>
  <si>
    <t xml:space="preserve">יבוא, ייצור ושיווק של מוצרי שיער וציוד מספרות</t>
  </si>
  <si>
    <t xml:space="preserve">INDOLA (יבואן בלעדי), JUL, Q8, Takara Belmont; מוכרים למספרות ולספא</t>
  </si>
  <si>
    <t xml:space="preserve">משרתת מעל 2,500 מספרות ומכוני יופי</t>
  </si>
  <si>
    <t xml:space="preserve">gidoncosmetics.co.il</t>
  </si>
  <si>
    <t xml:space="preserve">פארמה דיל</t>
  </si>
  <si>
    <t xml:space="preserve">שיווק והפצה של מוצרי פארם</t>
  </si>
  <si>
    <t xml:space="preserve">מוצרי פארם לבית, לתינוקות ולנשים; מוכרים למגוון לקוחות קמעונאיים</t>
  </si>
  <si>
    <t xml:space="preserve">101–500 עובדים, מעסיקה סוכני שטח לפארם</t>
  </si>
  <si>
    <t xml:space="preserve">חוף אשקלון</t>
  </si>
  <si>
    <t xml:space="preserve">לבידו (Lavido)</t>
  </si>
  <si>
    <t xml:space="preserve">ייצור קוסמטיקה טבעית</t>
  </si>
  <si>
    <t xml:space="preserve">טיפוח פנים וגוף; נמכר בכ-450 נקודות מכירה בישראל, כולל חנויות בשמים</t>
  </si>
  <si>
    <t xml:space="preserve">חברה בינונית (כ-50 עובדים) עם מאות חנויות לקוח</t>
  </si>
  <si>
    <t xml:space="preserve">נהלל</t>
  </si>
  <si>
    <t xml:space="preserve">lavido.com</t>
  </si>
  <si>
    <t xml:space="preserve">קרליין (Careline, אמיליה פיתוח)</t>
  </si>
  <si>
    <t xml:space="preserve">ייצור קוסמטיקה וטיפוח</t>
  </si>
  <si>
    <t xml:space="preserve">איפור וטיפוח במחיר נגיש; מוכרים לרשתות פארם ולסופרמרקטים</t>
  </si>
  <si>
    <t xml:space="preserve">מותג מדף שצריך סוכנים וסדרנים בנקודות המכירה</t>
  </si>
  <si>
    <t xml:space="preserve">careline.co.il</t>
  </si>
  <si>
    <t xml:space="preserve">אביב קוסמטיקס (Biopeptix)</t>
  </si>
  <si>
    <t xml:space="preserve">קוסמטיקה מקצועית</t>
  </si>
  <si>
    <t xml:space="preserve">טיפוח מקצועי; מוכרים רק לקוסמטיקאיות, למכוני יופי, לספא ולרופאים</t>
  </si>
  <si>
    <t xml:space="preserve">מכירה B2B למכוני יופי בלבד</t>
  </si>
  <si>
    <t xml:space="preserve">biopeptix.com</t>
  </si>
  <si>
    <t xml:space="preserve">אליאס ססוניק</t>
  </si>
  <si>
    <t xml:space="preserve">יבוא ושיווק מכשירי חשמל ליופי ושיער</t>
  </si>
  <si>
    <t xml:space="preserve">מכונות תספורת, מייבשי שיער ומחליקים (כולל Sassonic); לסיטונאי מספרות, לרשתות חשמל ולדיוטי פרי</t>
  </si>
  <si>
    <t xml:space="preserve">עסק משפחתי מ-1967 שמוכר למספרות ולקמעונאות</t>
  </si>
  <si>
    <t xml:space="preserve">א.פ.י חורי הפצה (חורי קוסמטיקה)</t>
  </si>
  <si>
    <t xml:space="preserve">יבוא והפצה של קוסמטיקה, בשמים וטואלטיקה</t>
  </si>
  <si>
    <t xml:space="preserve">מוכרים לקמעונאים פרטיים ולרשתות שיווק</t>
  </si>
  <si>
    <t xml:space="preserve">מפיץ מ-1978 שמוכר לחנויות פרטיות; כבר יש לו אפליקציה ללקוחות</t>
  </si>
  <si>
    <t xml:space="preserve">churishop.co.il</t>
  </si>
  <si>
    <t xml:space="preserve">סנו מפעלי ברונוס (חברה גדולה)</t>
  </si>
  <si>
    <t xml:space="preserve">ייצור מוצרי ניקיון וטיפוח אישי</t>
  </si>
  <si>
    <t xml:space="preserve">טיפוח אישי וניקיון; מוכרים לסופרמרקטים, לפארם ולמכולות</t>
  </si>
  <si>
    <t xml:space="preserve">יצרן גדול עם מערך סוכנים ארצי</t>
  </si>
  <si>
    <t xml:space="preserve">הוד השרון</t>
  </si>
  <si>
    <t xml:space="preserve">sano.co.il</t>
  </si>
  <si>
    <t xml:space="preserve">שוורץ קוסמטיקה טבעית (S-Schwartz)</t>
  </si>
  <si>
    <t xml:space="preserve">ייצור קוסמטיקה טבעית, טבעונית ו-Private Label</t>
  </si>
  <si>
    <t xml:space="preserve">שיער, פנים וגוף; מוכרים למפיצים, לקמעונאים ולמותגים</t>
  </si>
  <si>
    <t xml:space="preserve">יצרן קטן-בינוני שמוכר למפיצים ולקמעונאים (רלוונטיות נמוכה יותר)</t>
  </si>
  <si>
    <t xml:space="preserve">באר שבע</t>
  </si>
  <si>
    <t xml:space="preserve">s-schwartz.com</t>
  </si>
  <si>
    <t xml:space="preserve">מזון ומשקאות</t>
  </si>
  <si>
    <t xml:space="preserve">קבוצת דיפלומט (חברה גדולה)</t>
  </si>
  <si>
    <t xml:space="preserve">יבוא והפצה של מוצרי צריכה ומזון (FMCG)</t>
  </si>
  <si>
    <t xml:space="preserve">מותגי מזון וצריכה (Pantene, Wella, Oral-B ועוד); לסופרמרקטים, לפארם ולמכולות</t>
  </si>
  <si>
    <t xml:space="preserve">כ-51,000 נקודות הפצה ישירה וצי סוכנים גדול</t>
  </si>
  <si>
    <t xml:space="preserve">איירפורט סיטי</t>
  </si>
  <si>
    <t xml:space="preserve">diplomat-global.com</t>
  </si>
  <si>
    <t xml:space="preserve">03-9766666 / info_group@diplomat-global.com</t>
  </si>
  <si>
    <t xml:space="preserve">וילי פוד (G. Willi-Food)</t>
  </si>
  <si>
    <t xml:space="preserve">יבוא מזון</t>
  </si>
  <si>
    <t xml:space="preserve">יותר מ-600 מוצרים יבשים, קפואים ומקוררים, ליותר מ-3,000 לקוחות</t>
  </si>
  <si>
    <t xml:space="preserve">בסיס לקוחות קמעונאי רחב, ומכירות ללקוחות מסחריים</t>
  </si>
  <si>
    <t xml:space="preserve">willi-food.co.il</t>
  </si>
  <si>
    <t xml:space="preserve">08-9321000</t>
  </si>
  <si>
    <t xml:space="preserve">טעמן שיווק מזון</t>
  </si>
  <si>
    <t xml:space="preserve">שיווק והפצה סיטונאית + יבוא</t>
  </si>
  <si>
    <t xml:space="preserve">שימורים, שמנים, ממרחים, אפייה, ממתקים, חטיפים ומזון לילדים, לחנויות</t>
  </si>
  <si>
    <t xml:space="preserve">הפצה סיטונאית למכולות, בדיוק מודל של סוכן שטח</t>
  </si>
  <si>
    <t xml:space="preserve">מישור אדומים</t>
  </si>
  <si>
    <t xml:space="preserve">taaman.co.il</t>
  </si>
  <si>
    <t xml:space="preserve">1-800-200-929 / taaman@taaman.co.il</t>
  </si>
  <si>
    <t xml:space="preserve">קבוצת אדום (Adom Group)</t>
  </si>
  <si>
    <t xml:space="preserve">יבוא מזון (בשר, דגים, מותגים)</t>
  </si>
  <si>
    <t xml:space="preserve">לרשתות ולסיטונאים; חברת הבת Free Market מפיצה למכולות ומינימרקטים</t>
  </si>
  <si>
    <t xml:space="preserve">זרוע הפצה ייעודית למכולות קטנות</t>
  </si>
  <si>
    <t xml:space="preserve">רמת ישי</t>
  </si>
  <si>
    <t xml:space="preserve">adomgroup.com</t>
  </si>
  <si>
    <t xml:space="preserve">04-6040517</t>
  </si>
  <si>
    <t xml:space="preserve">א.ס.ק אנשל שיווק (A.S.K Anshel)</t>
  </si>
  <si>
    <t xml:space="preserve">יבוא מזון ומשקאות</t>
  </si>
  <si>
    <t xml:space="preserve">קמעונאות, מוסדות ומזון תעשייתי</t>
  </si>
  <si>
    <t xml:space="preserve">ספק לקמעונאים ולמסעדות, מגוון לקוחות ומסלולים</t>
  </si>
  <si>
    <t xml:space="preserve">anshel.com</t>
  </si>
  <si>
    <t xml:space="preserve">03-6724655</t>
  </si>
  <si>
    <t xml:space="preserve">ישראקו מותגי מזון בינלאומיים</t>
  </si>
  <si>
    <t xml:space="preserve">יבוא ושיווק מזון</t>
  </si>
  <si>
    <t xml:space="preserve">חטיפים וממתקים, חלב, קפואים, גורמה, שמן וחומץ</t>
  </si>
  <si>
    <t xml:space="preserve">מגוון קטגוריות שנמכר לנקודות קמעונאיות רבות</t>
  </si>
  <si>
    <t xml:space="preserve">חדרה (א.ת. עמק חפר)</t>
  </si>
  <si>
    <t xml:space="preserve">israco.co.il</t>
  </si>
  <si>
    <t xml:space="preserve">04-6179000</t>
  </si>
  <si>
    <t xml:space="preserve">תומר יבוא ושיווק מוצרי מזון (1983)</t>
  </si>
  <si>
    <t xml:space="preserve">יבוא והפצת מזון</t>
  </si>
  <si>
    <t xml:space="preserve">מוצרי יבוא ויצרנים מקומיים לרשתות ולשוק המוסדי</t>
  </si>
  <si>
    <t xml:space="preserve">מפיץ של יצרנים קטנים וגדולים לנקודות מכירה</t>
  </si>
  <si>
    <t xml:space="preserve">tomerltd.co.il</t>
  </si>
  <si>
    <t xml:space="preserve">רוברטו פוד (Roberto Food)</t>
  </si>
  <si>
    <t xml:space="preserve">יבוא, הפצה ומותג פרטי</t>
  </si>
  <si>
    <t xml:space="preserve">לרשתות, לסיטונאים, לחנויות נוחות, לחנויות טבע ולמוסדות</t>
  </si>
  <si>
    <t xml:space="preserve">מוכרים במפורש לחנויות נוחות וטבע</t>
  </si>
  <si>
    <t xml:space="preserve">robertofood.com</t>
  </si>
  <si>
    <t xml:space="preserve">03-5503993</t>
  </si>
  <si>
    <t xml:space="preserve">לטפוד (Latfood)</t>
  </si>
  <si>
    <t xml:space="preserve">יבוא והפצה (קפוא, מקורר, מתוקים, יבש)</t>
  </si>
  <si>
    <t xml:space="preserve">לרשתות ולחנויות מזון מקומיות בערים הגדולות</t>
  </si>
  <si>
    <t xml:space="preserve">מערך מכירה והפצה ארצי לחנויות מקומיות</t>
  </si>
  <si>
    <t xml:space="preserve">אשדוד</t>
  </si>
  <si>
    <t xml:space="preserve">latfood.co.il</t>
  </si>
  <si>
    <t xml:space="preserve">08-8699599</t>
  </si>
  <si>
    <t xml:space="preserve">רספקט מגה טרייד (Respect Mega Trade)</t>
  </si>
  <si>
    <t xml:space="preserve">יבוא והפצת מזון וכימיקלים</t>
  </si>
  <si>
    <t xml:space="preserve">מכולת, חטיפים, משקאות, אלכוהול וקפואים, ליותר מ-1,250 נקודות</t>
  </si>
  <si>
    <t xml:space="preserve">הפצה לקמעונאות מסורתית, הרבה נקודות ומסלולים</t>
  </si>
  <si>
    <t xml:space="preserve">בת ים</t>
  </si>
  <si>
    <t xml:space="preserve">rmt-ltd.com</t>
  </si>
  <si>
    <t xml:space="preserve">054-7857110</t>
  </si>
  <si>
    <t xml:space="preserve">משוקלדיס</t>
  </si>
  <si>
    <t xml:space="preserve">יבוא שוקולד וממתקים</t>
  </si>
  <si>
    <t xml:space="preserve">למאות סופרמרקטים, לאלפי חנויות מקומיות, למלונות ולמוסדות</t>
  </si>
  <si>
    <t xml:space="preserve">אלפי חנויות מקומיות — פרופיל סוכני שטח קלאסי</t>
  </si>
  <si>
    <t xml:space="preserve">meshukladis.com</t>
  </si>
  <si>
    <t xml:space="preserve">08-9331080</t>
  </si>
  <si>
    <t xml:space="preserve">מוריאם (Moryam)</t>
  </si>
  <si>
    <t xml:space="preserve">מותגים אמריקאיים ומזון מיוחד לשוק הישראלי</t>
  </si>
  <si>
    <t xml:space="preserve">יבואן מותגים שזקוק לחדירה לנקודות מכירה</t>
  </si>
  <si>
    <t xml:space="preserve">moryam.co.il</t>
  </si>
  <si>
    <t xml:space="preserve">י. שבי שיווק מזון</t>
  </si>
  <si>
    <t xml:space="preserve">הפצה סיטונאית (יבש, קפוא, חד-פעמי)</t>
  </si>
  <si>
    <t xml:space="preserve">מסעדות, ברים, בתי קפה, קייטרינג ואולמות</t>
  </si>
  <si>
    <t xml:space="preserve">הפצה למסעדות ובתי קפה עם הזמנות חוזרות</t>
  </si>
  <si>
    <t xml:space="preserve">ראשון לציון</t>
  </si>
  <si>
    <t xml:space="preserve">y-shabi.co.il</t>
  </si>
  <si>
    <t xml:space="preserve">03-9566667 / Office@y-shabi.co.il</t>
  </si>
  <si>
    <t xml:space="preserve">א.ג.מ סחר מזון</t>
  </si>
  <si>
    <t xml:space="preserve">סיטונאות (קטניות, פירות יבשים, תבלינים, חטיפים)</t>
  </si>
  <si>
    <t xml:space="preserve">מסעדות, מכולות, חנויות טבע, סופרים, בתי קלייה ומאפיות</t>
  </si>
  <si>
    <t xml:space="preserve">מגוון רחב של לקוחות קמעונאיים</t>
  </si>
  <si>
    <t xml:space="preserve">חבל מודיעין / תל אביב</t>
  </si>
  <si>
    <t xml:space="preserve">agmfood.co.il</t>
  </si>
  <si>
    <t xml:space="preserve">03-9733355</t>
  </si>
  <si>
    <t xml:space="preserve">האחים כהן סיטונאות מזון</t>
  </si>
  <si>
    <t xml:space="preserve">יבוא, ייצור והפצה (תבלינים, רטבים, קפואים)</t>
  </si>
  <si>
    <t xml:space="preserve">מטבחים מקצועיים ומוסדיים ועסקי מזון</t>
  </si>
  <si>
    <t xml:space="preserve">ספק מסעדות עם הזמנות שוטפות</t>
  </si>
  <si>
    <t xml:space="preserve">בית שמש</t>
  </si>
  <si>
    <t xml:space="preserve">cohenb.com</t>
  </si>
  <si>
    <t xml:space="preserve">02-5891000 / office@cohenb.com</t>
  </si>
  <si>
    <t xml:space="preserve">הרצל ביבי (יבוא אורגני)</t>
  </si>
  <si>
    <t xml:space="preserve">יבוא מזון אורגני</t>
  </si>
  <si>
    <t xml:space="preserve">קטניות, דגנים, אגוזים ופירות יבשים למסעדות, לקמעונאים ולחנויות טבע</t>
  </si>
  <si>
    <t xml:space="preserve">מוכרים לחנויות טבע לפי הצעת מחיר והזמנה</t>
  </si>
  <si>
    <t xml:space="preserve">בית שמש (הר טוב)</t>
  </si>
  <si>
    <t xml:space="preserve">hborganic.co.il</t>
  </si>
  <si>
    <t xml:space="preserve">052-4488963</t>
  </si>
  <si>
    <t xml:space="preserve">סקול מרקט שיווק והפצה</t>
  </si>
  <si>
    <t xml:space="preserve">הפצה סיטונאית (ממתקים, שתייה, קפואים)</t>
  </si>
  <si>
    <t xml:space="preserve">קיוסקים, קנטינות, בריכות ודוכנים</t>
  </si>
  <si>
    <t xml:space="preserve">ממוקדים בקיוסקים, ופיזור נקודות גבוה</t>
  </si>
  <si>
    <t xml:space="preserve">school-market.co.il</t>
  </si>
  <si>
    <t xml:space="preserve">03-9605033 / office@school-market.co.il</t>
  </si>
  <si>
    <t xml:space="preserve">ש. זעפרני סיטונאות מזון</t>
  </si>
  <si>
    <t xml:space="preserve">סיטונאות מזון</t>
  </si>
  <si>
    <t xml:space="preserve">מסעדות, מכולות ורשתות, משלוחים ארציים</t>
  </si>
  <si>
    <t xml:space="preserve">צי משאיות ולקוחות קמעונאיים</t>
  </si>
  <si>
    <t xml:space="preserve">zaafrany.co.il</t>
  </si>
  <si>
    <t xml:space="preserve">077-2316868</t>
  </si>
  <si>
    <t xml:space="preserve">תבליני פארן</t>
  </si>
  <si>
    <t xml:space="preserve">אריזה, שיווק והפצה (תבלינים, קטניות, קפואים)</t>
  </si>
  <si>
    <t xml:space="preserve">מסעדות, פאבים, בתי קפה, מוסדות וקמעונאים בדרום</t>
  </si>
  <si>
    <t xml:space="preserve">צי הפצה עצמי עם מסלולים יומיים</t>
  </si>
  <si>
    <t xml:space="preserve">tav-faran.co.il</t>
  </si>
  <si>
    <t xml:space="preserve">08-6233412</t>
  </si>
  <si>
    <t xml:space="preserve">נווה התבלין</t>
  </si>
  <si>
    <t xml:space="preserve">יצרן תבלינים ותערובות</t>
  </si>
  <si>
    <t xml:space="preserve">שוק מוסדי, סיטונאי וקמעונאי</t>
  </si>
  <si>
    <t xml:space="preserve">יצרן בינוני שמוכר לקמעונאות ולמוסדות</t>
  </si>
  <si>
    <t xml:space="preserve">עמק חפר</t>
  </si>
  <si>
    <t xml:space="preserve">neve-t.co.il</t>
  </si>
  <si>
    <t xml:space="preserve">09-8334355</t>
  </si>
  <si>
    <t xml:space="preserve">תבליני פרג</t>
  </si>
  <si>
    <t xml:space="preserve">תבלינים</t>
  </si>
  <si>
    <t xml:space="preserve">סניפים ורשת משווקים: מכולות, אטליזים, שווקים</t>
  </si>
  <si>
    <t xml:space="preserve">רשת משווקים ארצית שמנוהלת לפי ערים</t>
  </si>
  <si>
    <t xml:space="preserve">בת ים (סניף)</t>
  </si>
  <si>
    <t xml:space="preserve">tavlineypereg.co.il</t>
  </si>
  <si>
    <t xml:space="preserve">קפוא זן</t>
  </si>
  <si>
    <t xml:space="preserve">ייצור, יבוא והפצה של קפוא ומקורר</t>
  </si>
  <si>
    <t xml:space="preserve">קמעונאות, מסעדות ומפיצי מזון</t>
  </si>
  <si>
    <t xml:space="preserve">הפצה ארצית של קפואים לקמעונאות ולמסעדות</t>
  </si>
  <si>
    <t xml:space="preserve">kafuzan.co.il</t>
  </si>
  <si>
    <t xml:space="preserve">03-9303863 / kafuzan@kafuzan.co.il</t>
  </si>
  <si>
    <t xml:space="preserve">א.א. מטעמים</t>
  </si>
  <si>
    <t xml:space="preserve">הפצת מזון קפוא</t>
  </si>
  <si>
    <t xml:space="preserve">בתי קפה, רשתות מסעדות, מלונות, קייטרינג ואולמות</t>
  </si>
  <si>
    <t xml:space="preserve">הזמנות חוזרות מבתי קפה ומסעדות</t>
  </si>
  <si>
    <t xml:space="preserve">matamim.co.il</t>
  </si>
  <si>
    <t xml:space="preserve">03-9302579</t>
  </si>
  <si>
    <t xml:space="preserve">הכרם משקאות חריפים</t>
  </si>
  <si>
    <t xml:space="preserve">יבוא, שיווק והפצה של אלכוהול ויין</t>
  </si>
  <si>
    <t xml:space="preserve">אלפי בתי עסק (מסעדות, ברים, חנויות)</t>
  </si>
  <si>
    <t xml:space="preserve">אלפי נקודות עסקיות, ומשרת סוכני שטח</t>
  </si>
  <si>
    <t xml:space="preserve">חבל מודיעין</t>
  </si>
  <si>
    <t xml:space="preserve">hacarem.com</t>
  </si>
  <si>
    <t xml:space="preserve">03-9627070 / hacarem@hacarem.com</t>
  </si>
  <si>
    <t xml:space="preserve">אחוה תעשיות מזון</t>
  </si>
  <si>
    <t xml:space="preserve">ייצור (חלבה, טחינה, מאפים)</t>
  </si>
  <si>
    <t xml:space="preserve">לצרכנים דרך קמעונאות ולשוק המוסדי</t>
  </si>
  <si>
    <t xml:space="preserve">יצרן בינוני עם מוצרים בכל מכולת</t>
  </si>
  <si>
    <t xml:space="preserve">נס ציונה (לפי מדריך)</t>
  </si>
  <si>
    <t xml:space="preserve">halva.co.il</t>
  </si>
  <si>
    <t xml:space="preserve">נאמן לאורך זמן</t>
  </si>
  <si>
    <t xml:space="preserve">יבוא ושיווק מזון ומוצרי צריכה לבית</t>
  </si>
  <si>
    <t xml:space="preserve">ממרחים, רטבים, דבש, אבקות אפייה וחד-פעמי; לצרכניות, מינימרקטים, מכולות וחנויות קיבוץ ומושב (3,000+ נקודות)</t>
  </si>
  <si>
    <t xml:space="preserve">סוכני מכירות מבקרים בחנויות, ואפשר לבקש ביקור סוכן באתר</t>
  </si>
  <si>
    <t xml:space="preserve">neeman-ltd.co.il</t>
  </si>
  <si>
    <t xml:space="preserve">08-9439858</t>
  </si>
  <si>
    <t xml:space="preserve">כלי עבודה, בנייה ותעשייה</t>
  </si>
  <si>
    <t xml:space="preserve">כפרו תעשיות (Kapro)</t>
  </si>
  <si>
    <t xml:space="preserve">כלי מדידה (יצרן)</t>
  </si>
  <si>
    <t xml:space="preserve">פלסים, לייזרים, כלי סימון ומדידה לחנויות כלי עבודה ומפיצים</t>
  </si>
  <si>
    <t xml:space="preserve">מוכרת לרשתות ולחנויות כלי עבודה, עם ביקורים חוזרים והזמנות מלאי</t>
  </si>
  <si>
    <t xml:space="preserve">קדש ברנע</t>
  </si>
  <si>
    <t xml:space="preserve">kapro.com</t>
  </si>
  <si>
    <t xml:space="preserve">— (טופס באתר)</t>
  </si>
  <si>
    <t xml:space="preserve">נירלט</t>
  </si>
  <si>
    <t xml:space="preserve">צבעים (יצרן)</t>
  </si>
  <si>
    <t xml:space="preserve">צבעי בית, שליכט, צבעים תעשייתיים לטמבוריות, קבלנים ואדריכלים</t>
  </si>
  <si>
    <t xml:space="preserve">ספקית צבע לטמבוריות בכל הארץ, עם הזמנות חוזרות וגבייה מחנויות</t>
  </si>
  <si>
    <t xml:space="preserve">בני ברק (משרדים)</t>
  </si>
  <si>
    <t xml:space="preserve">nirlat.com</t>
  </si>
  <si>
    <t xml:space="preserve">03-6194244 / 1700-500-004</t>
  </si>
  <si>
    <t xml:space="preserve">טמבור (חברה גדולה)</t>
  </si>
  <si>
    <t xml:space="preserve">צבעים וחומרי בניין</t>
  </si>
  <si>
    <t xml:space="preserve">צבע, דבקי קרמיקה, איטום, גבס, לטמבוריות, קבלנים וצבעים</t>
  </si>
  <si>
    <t xml:space="preserve">רשת גדולה של חנויות משווקות שאפשר לבקר בהן</t>
  </si>
  <si>
    <t xml:space="preserve">tambour.co.il</t>
  </si>
  <si>
    <t xml:space="preserve">*6477</t>
  </si>
  <si>
    <t xml:space="preserve">ל.כ. כלים וציוד</t>
  </si>
  <si>
    <t xml:space="preserve">כלי עבודה וציוד טכני</t>
  </si>
  <si>
    <t xml:space="preserve">כלי עבודה ידניים וחשמליים, ציוד למוסכים, הרמה וקשירה, עבודה בגובה</t>
  </si>
  <si>
    <t xml:space="preserve">לקוחות עסקיים עם קוד לקוח, הצעות מחיר והזמנות</t>
  </si>
  <si>
    <t xml:space="preserve">רמלה, קדמת גליל</t>
  </si>
  <si>
    <t xml:space="preserve">lkltd.co.il</t>
  </si>
  <si>
    <t xml:space="preserve">08-9247777</t>
  </si>
  <si>
    <t xml:space="preserve">פ.ר.ט. תעשיות מתכת</t>
  </si>
  <si>
    <t xml:space="preserve">ברגים וחומרי חיבור</t>
  </si>
  <si>
    <t xml:space="preserve">יבוא והפצה של ברגים, אומים, דיבלים ותפסנים לסיטונאים, לקמעונאים ולמפעלים</t>
  </si>
  <si>
    <t xml:space="preserve">קטלוג גדול של מק"טים שנמכר לחנויות ולמפעלים</t>
  </si>
  <si>
    <t xml:space="preserve">באר טוביה, קריית ביאליק</t>
  </si>
  <si>
    <t xml:space="preserve">prt.co.il</t>
  </si>
  <si>
    <t xml:space="preserve">1-700-504-564</t>
  </si>
  <si>
    <t xml:space="preserve">טכנו י.ס. (ProSafety)</t>
  </si>
  <si>
    <t xml:space="preserve">ציוד בטיחות ומיגון</t>
  </si>
  <si>
    <t xml:space="preserve">ציוד מגן אישי, ביגוד עבודה, עבודה בגובה, עזרה ראשונה; מכירה סיטונאית למפעלים</t>
  </si>
  <si>
    <t xml:space="preserve">מכירה סיטונאית למפעלים, עם הזמנות חוזרות של מתכלים</t>
  </si>
  <si>
    <t xml:space="preserve">בני ברק</t>
  </si>
  <si>
    <t xml:space="preserve">pro-safety.co.il</t>
  </si>
  <si>
    <t xml:space="preserve">073-7760226 / info@tys.co.il</t>
  </si>
  <si>
    <t xml:space="preserve">ארגנטולס</t>
  </si>
  <si>
    <t xml:space="preserve">כלי עבודה, ריתוך וריסוס (יבואן רשמי)</t>
  </si>
  <si>
    <t xml:space="preserve">Makita, Husqvarna, Fronius, Wagner, Wera ומתכלים; דרך רשת מפיצים</t>
  </si>
  <si>
    <t xml:space="preserve">יבואן עם רשת משווקים ארצית שמנהל אנשי מכירות מול חנויות</t>
  </si>
  <si>
    <t xml:space="preserve">argentools.co.il</t>
  </si>
  <si>
    <t xml:space="preserve">03-5617786</t>
  </si>
  <si>
    <t xml:space="preserve">Huge Tools</t>
  </si>
  <si>
    <t xml:space="preserve">כלי עבודה (סיטונאות)</t>
  </si>
  <si>
    <t xml:space="preserve">למעלה מ-3,000 מק"טים לחנויות כלי עבודה, סוחרים וסיטונאים</t>
  </si>
  <si>
    <t xml:space="preserve">מוכרת לחנויות חומרי בניין בכל הארץ</t>
  </si>
  <si>
    <t xml:space="preserve">huge-tools.com</t>
  </si>
  <si>
    <t xml:space="preserve">info@huge-tools.com</t>
  </si>
  <si>
    <t xml:space="preserve">גילאר (Sika ישראל)</t>
  </si>
  <si>
    <t xml:space="preserve">איטום, דבקים וכימיה לבנייה</t>
  </si>
  <si>
    <t xml:space="preserve">מוצרי Sika לאיטום, הדבקה, תיקוני בטון וריצוף, דרך חנויות מורשות</t>
  </si>
  <si>
    <t xml:space="preserve">ניהול רשת חנויות מורשות לפי אזורים</t>
  </si>
  <si>
    <t xml:space="preserve">gilar.co.il</t>
  </si>
  <si>
    <t xml:space="preserve">טכנובר</t>
  </si>
  <si>
    <t xml:space="preserve">חומרי גלם ואביזרי צנרת תעשייתיים</t>
  </si>
  <si>
    <t xml:space="preserve">נירוסטה, צנרת, אביזרים ומגופים למפעלים</t>
  </si>
  <si>
    <t xml:space="preserve">מכירה טכנית למפעלים, עם הצעות מחיר והזמנות חוזרות</t>
  </si>
  <si>
    <t xml:space="preserve">technobar.co.il</t>
  </si>
  <si>
    <t xml:space="preserve">03-9632333</t>
  </si>
  <si>
    <t xml:space="preserve">א.ב. אופנהיימר</t>
  </si>
  <si>
    <t xml:space="preserve">חלקי חילוף לרכב ודיזל</t>
  </si>
  <si>
    <t xml:space="preserve">יבוא חלפים לרכב פרטי ולרכב כבד</t>
  </si>
  <si>
    <t xml:space="preserve">יבואן חלפים שמוכר למוסכים ולחנויות חלפים</t>
  </si>
  <si>
    <t xml:space="preserve">uboparts.co.il</t>
  </si>
  <si>
    <t xml:space="preserve">03-6951013 / oppen@uboparts.co.il</t>
  </si>
  <si>
    <t xml:space="preserve">פרומט סחר ושירותים (Liqui Moly ישראל)</t>
  </si>
  <si>
    <t xml:space="preserve">שמנים ותוספים לרכב</t>
  </si>
  <si>
    <t xml:space="preserve">יבואן בלעדי של Liqui Moly; מפת נקודות מכירה ארצית</t>
  </si>
  <si>
    <t xml:space="preserve">רשת נקודות מכירה ומוסכים שצריך לבקר ולספק להם מלאי</t>
  </si>
  <si>
    <t xml:space="preserve">ראש העין</t>
  </si>
  <si>
    <t xml:space="preserve">liquimoly.co.il</t>
  </si>
  <si>
    <t xml:space="preserve">sales@ferromat.co.il</t>
  </si>
  <si>
    <t xml:space="preserve">מבוא שומרון</t>
  </si>
  <si>
    <t xml:space="preserve">שמנים וחומרי סיכה, דלקים</t>
  </si>
  <si>
    <t xml:space="preserve">שמנים, גריז ואוריאה לציי רכב, מפעלים, רכב כבד וחקלאות</t>
  </si>
  <si>
    <t xml:space="preserve">לקוחות B2B עם אספקה חוזרת וגבייה</t>
  </si>
  <si>
    <t xml:space="preserve">mavosh.co.il</t>
  </si>
  <si>
    <t xml:space="preserve">*9625 / office@mavosh.co.il</t>
  </si>
  <si>
    <t xml:space="preserve">דבטק דבקים טכנולוגיים</t>
  </si>
  <si>
    <t xml:space="preserve">דבקים, איטום וסרטים</t>
  </si>
  <si>
    <t xml:space="preserve">דבקים, סיליקונים, MS פולימר ומעכבי אש; לעסקים, לקבלנים ולמשווקים בלבד</t>
  </si>
  <si>
    <t xml:space="preserve">B2B בלבד, למשווקים ולקבלנים</t>
  </si>
  <si>
    <t xml:space="preserve">devtec.co.il</t>
  </si>
  <si>
    <t xml:space="preserve">03-9306694 / sales@devtec.co.il</t>
  </si>
  <si>
    <t xml:space="preserve">קבוצת זוקו שילובים</t>
  </si>
  <si>
    <t xml:space="preserve">דבקים תעשייתיים, ציוד וחלפים</t>
  </si>
  <si>
    <t xml:space="preserve">דבקים וחומרי איטום לתעשייה, שמנים ומסננים, מדחסים ומשאבות</t>
  </si>
  <si>
    <t xml:space="preserve">מכירה טכנית למפעלים ולחקלאות</t>
  </si>
  <si>
    <t xml:space="preserve">zoko.co.il</t>
  </si>
  <si>
    <t xml:space="preserve">03-5571555 / info@zoko.co.il</t>
  </si>
  <si>
    <t xml:space="preserve">גליקמן צנרת אור</t>
  </si>
  <si>
    <t xml:space="preserve">אינסטלציה, צנרת וכיבוי אש</t>
  </si>
  <si>
    <t xml:space="preserve">צנרת, כלים סניטריים, מגופים ומשאבות לקבלנים ולבעלי מקצוע</t>
  </si>
  <si>
    <t xml:space="preserve">לקוחות קבלנים עם הזמנות חוזרות והתחשבנות</t>
  </si>
  <si>
    <t xml:space="preserve">חיפה</t>
  </si>
  <si>
    <t xml:space="preserve">glikman-or.co.il</t>
  </si>
  <si>
    <t xml:space="preserve">04-8521202</t>
  </si>
  <si>
    <t xml:space="preserve">ש.אל ציוד טכני</t>
  </si>
  <si>
    <t xml:space="preserve">משאבות, אינסטלציה וכיבוי אש</t>
  </si>
  <si>
    <t xml:space="preserve">משאבות (Xylem, DAB, Pentair), אביזרי צנרת ומגופים לבנייה ולתשתיות</t>
  </si>
  <si>
    <t xml:space="preserve">משווק ארצי לבנייה ולתשתיות, עם כמה סניפים</t>
  </si>
  <si>
    <t xml:space="preserve">אשדוד, חיפה</t>
  </si>
  <si>
    <t xml:space="preserve">saltech.co.il</t>
  </si>
  <si>
    <t xml:space="preserve">03-5566363 / sal@saltech.co.il</t>
  </si>
  <si>
    <t xml:space="preserve">אלפאטק</t>
  </si>
  <si>
    <t xml:space="preserve">אביזרי חשמל</t>
  </si>
  <si>
    <t xml:space="preserve">מפסקים, תאורה, שקעים, תעלות ועמדות טעינה לתעשייה ולבנייה</t>
  </si>
  <si>
    <t xml:space="preserve">יבואן קטן שמוכר לחשמלאים ולסיטונאים</t>
  </si>
  <si>
    <t xml:space="preserve">alfatek.co.il</t>
  </si>
  <si>
    <t xml:space="preserve">052-6821087</t>
  </si>
  <si>
    <t xml:space="preserve">אופיר ספקים</t>
  </si>
  <si>
    <t xml:space="preserve">חומרי אריזה</t>
  </si>
  <si>
    <t xml:space="preserve">סטרץ', סרטי הדבקה, קרטונים ושקיות למחסנים, יצרנים ומפיצים</t>
  </si>
  <si>
    <t xml:space="preserve">מכירה סיטונאית של מתכלים בהזמנות חוזרות</t>
  </si>
  <si>
    <t xml:space="preserve">כפר קאסם (לא מאומת)</t>
  </si>
  <si>
    <t xml:space="preserve">ofirsapakim.co.il</t>
  </si>
  <si>
    <t xml:space="preserve">03-6522422</t>
  </si>
  <si>
    <t xml:space="preserve">דביק שדה בוקר</t>
  </si>
  <si>
    <t xml:space="preserve">אריזה והדבקה (יצרן)</t>
  </si>
  <si>
    <t xml:space="preserve">סרטי הדבקה, סטרץ', דבקים חמים ומכונות אריזה לתעשייה, חקלאות ומזון</t>
  </si>
  <si>
    <t xml:space="preserve">יצרן עם משרד שיווק והפצה ללקוחות תעשייתיים</t>
  </si>
  <si>
    <t xml:space="preserve">שדה בוקר, יבנה</t>
  </si>
  <si>
    <t xml:space="preserve">davik.co.il</t>
  </si>
  <si>
    <t xml:space="preserve">08-6560100 / main@davik.co.il</t>
  </si>
  <si>
    <t xml:space="preserve">ישראלאק ייצור ושיווק</t>
  </si>
  <si>
    <t xml:space="preserve">צבעים וציפויים (יצרן)</t>
  </si>
  <si>
    <t xml:space="preserve">צבעי מתכת ועץ, צבעי כבישים, מוצרים למוסכי פחחות</t>
  </si>
  <si>
    <t xml:space="preserve">מוכרת לתעשייה ולמוסכי פחחות</t>
  </si>
  <si>
    <t xml:space="preserve">קריית ביאליק</t>
  </si>
  <si>
    <t xml:space="preserve">isralak.co.il</t>
  </si>
  <si>
    <t xml:space="preserve">04-8764444</t>
  </si>
  <si>
    <t xml:space="preserve">דנבר צבעים וציפויים</t>
  </si>
  <si>
    <t xml:space="preserve">צבעים, דבקים ואפוקסי (יצרן)</t>
  </si>
  <si>
    <t xml:space="preserve">צבעים, איטום, אפוקסי וכימיקלים לשוק התעשייתי, המוסדי והביתי</t>
  </si>
  <si>
    <t xml:space="preserve">יצרן בינוני שמוכר לחנויות ולתעשייה</t>
  </si>
  <si>
    <t xml:space="preserve">denber.net</t>
  </si>
  <si>
    <t xml:space="preserve">08-9960794</t>
  </si>
  <si>
    <t xml:space="preserve">טולגל (Toolgal)</t>
  </si>
  <si>
    <t xml:space="preserve">כלים יהלומיים (יצרן)</t>
  </si>
  <si>
    <t xml:space="preserve">להבים, כוסות קידוח ודיסקים לחיתוך בטון ואבן לקבלנים ולמפיצים</t>
  </si>
  <si>
    <t xml:space="preserve">מוצר מתכלה למשווקי כלי עבודה ולקבלנים</t>
  </si>
  <si>
    <t xml:space="preserve">toolgal.com</t>
  </si>
  <si>
    <t xml:space="preserve">toolgal@toolgal.com</t>
  </si>
  <si>
    <t xml:space="preserve">פטרוטק</t>
  </si>
  <si>
    <t xml:space="preserve">מוצרים וציוד למוסכים</t>
  </si>
  <si>
    <t xml:space="preserve">BG, Kroon-Oil, Launch, Robinair, שמנים, ספריי וציוד מוסך; בעיקר למוסכים</t>
  </si>
  <si>
    <t xml:space="preserve">מוכרת ישירות למוסכים — קהל קלאסי לסוכני שטח</t>
  </si>
  <si>
    <t xml:space="preserve">petrotech.co.il</t>
  </si>
  <si>
    <t xml:space="preserve">*9695 / hazmanot@petrotech.co.il</t>
  </si>
  <si>
    <t xml:space="preserve">מפעלי ע. שנפ (חברה גדולה)</t>
  </si>
  <si>
    <t xml:space="preserve">מצברים (יצרן ויבואן)</t>
  </si>
  <si>
    <t xml:space="preserve">מצברים לרכב, לרכב כבד ולתעשייה, מטענים; פריסת תחנות שירות ארצית</t>
  </si>
  <si>
    <t xml:space="preserve">פריסה ארצית של נקודות מכירה ומוסכים</t>
  </si>
  <si>
    <t xml:space="preserve">schnapp.co.il</t>
  </si>
  <si>
    <t xml:space="preserve">09-8606111</t>
  </si>
  <si>
    <t xml:space="preserve">רפואה, חיות מחמד, ניקיון ומשרד</t>
  </si>
  <si>
    <t xml:space="preserve">מ. פיינגרש ושות'</t>
  </si>
  <si>
    <t xml:space="preserve">ציוד פרא-רפואי / אורתופדיה</t>
  </si>
  <si>
    <t xml:space="preserve">חבישות, אורתופדיה, מדי לחץ דם, אינהלציה; לרשתות פארם, בתי מרקחת, מכונים אורתופדיים וקופות חולים</t>
  </si>
  <si>
    <t xml:space="preserve">לפי האתר, סוכני שטח מבקרים כל יום עשרות נקודות בכל הארץ</t>
  </si>
  <si>
    <t xml:space="preserve">mfcl.co.il</t>
  </si>
  <si>
    <t xml:space="preserve">08-9999399 / office@mfcl.co.il</t>
  </si>
  <si>
    <t xml:space="preserve">DYN Diagnostics</t>
  </si>
  <si>
    <t xml:space="preserve">ציוד רפואי / אורתופדיה ושיקום</t>
  </si>
  <si>
    <t xml:space="preserve">גרבי לחץ Medi, Spinomed, מתכלים; לבתי מרקחת, מרפאות ומוקדי חירום</t>
  </si>
  <si>
    <t xml:space="preserve">מוכרים לבתי מרקחת ומרפאות פזורים</t>
  </si>
  <si>
    <t xml:space="preserve">dynotc.co.il</t>
  </si>
  <si>
    <t xml:space="preserve">קל-מדי (מדי-קל)</t>
  </si>
  <si>
    <t xml:space="preserve">ציוד רפואי ומתכלים</t>
  </si>
  <si>
    <t xml:space="preserve">ציוד למרפאות, עזרה ראשונה, סיעוד וספיגה; למרפאות, בתי אבות, קופות ואמבולנסים</t>
  </si>
  <si>
    <t xml:space="preserve">לקוחות מוסדיים שחוזרים להזמין</t>
  </si>
  <si>
    <t xml:space="preserve">צפון</t>
  </si>
  <si>
    <t xml:space="preserve">medikal.co.il</t>
  </si>
  <si>
    <t xml:space="preserve">1700-555-369</t>
  </si>
  <si>
    <t xml:space="preserve">חיפה מדיקל</t>
  </si>
  <si>
    <t xml:space="preserve">ציוד דנטלי</t>
  </si>
  <si>
    <t xml:space="preserve">יבואן Takara Belmont: יוניטים, רנטגן, ריהוט; למרפאות שיניים</t>
  </si>
  <si>
    <t xml:space="preserve">מרפאות שיניים פזורות, עם מעקב שירות ומכירה</t>
  </si>
  <si>
    <t xml:space="preserve">נשר</t>
  </si>
  <si>
    <t xml:space="preserve">belmonthm.com</t>
  </si>
  <si>
    <t xml:space="preserve">04-8218883</t>
  </si>
  <si>
    <t xml:space="preserve">דנטל סנטר א.ר.</t>
  </si>
  <si>
    <t xml:space="preserve">חומרים וציוד דנטלי</t>
  </si>
  <si>
    <t xml:space="preserve">VITA, bredent, VDW ועוד; למרפאות שיניים, מעבדות ובתי חולים</t>
  </si>
  <si>
    <t xml:space="preserve">מתכלים חוזרים לרשת גדולה של מרפאות</t>
  </si>
  <si>
    <t xml:space="preserve">תל אביב (וסניף בחיפה)</t>
  </si>
  <si>
    <t xml:space="preserve">dentalcenter-er.com</t>
  </si>
  <si>
    <t xml:space="preserve">03-5626999 / sales@dentalcenter-er.com</t>
  </si>
  <si>
    <t xml:space="preserve">מטוב ציוד רפואי</t>
  </si>
  <si>
    <t xml:space="preserve">סיעוד / Home-care</t>
  </si>
  <si>
    <t xml:space="preserve">ספיגה, הליכונים, כיסאות גלגלים, מיטות סיעודיות; לבתי אבות ובתי חולים</t>
  </si>
  <si>
    <t xml:space="preserve">אספקה חוזרת של מתכלים לבתי אבות</t>
  </si>
  <si>
    <t xml:space="preserve">matov.co.il</t>
  </si>
  <si>
    <t xml:space="preserve">073-7458677</t>
  </si>
  <si>
    <t xml:space="preserve">סביון תעשיות</t>
  </si>
  <si>
    <t xml:space="preserve">ציוד סיעודי (יצרן)</t>
  </si>
  <si>
    <t xml:space="preserve">מיטות סיעודיות, מזרנים, כורסאות; לבתי חולים, בתי אבות ואשפוז בית</t>
  </si>
  <si>
    <t xml:space="preserve">לקוחות מוסדיים בכל הארץ</t>
  </si>
  <si>
    <t xml:space="preserve">savion.co.il</t>
  </si>
  <si>
    <t xml:space="preserve">08-8565959 / sales@savion.co.il</t>
  </si>
  <si>
    <t xml:space="preserve">קאליר הנדסה</t>
  </si>
  <si>
    <t xml:space="preserve">ציוד רפואי</t>
  </si>
  <si>
    <t xml:space="preserve">מכשור רפואי ובגדים חד-פעמיים; לבתי חולים, בתי מרקחת, מרפאות שיניים ווטרינריות</t>
  </si>
  <si>
    <t xml:space="preserve">קהל לקוחות מגוון ופזור</t>
  </si>
  <si>
    <t xml:space="preserve">kalir.net</t>
  </si>
  <si>
    <t xml:space="preserve">מאפט</t>
  </si>
  <si>
    <t xml:space="preserve">מזון וציוד לחיות מחמד</t>
  </si>
  <si>
    <t xml:space="preserve">מזון וציוד לכלבים, חתולים, ציפורים ודגים; לחנויות חיות בכל הארץ</t>
  </si>
  <si>
    <t xml:space="preserve">"ספק מוביל לחנויות חיות בפריסה ארצית"</t>
  </si>
  <si>
    <t xml:space="preserve">mapet.co.il</t>
  </si>
  <si>
    <t xml:space="preserve">09-7488500</t>
  </si>
  <si>
    <t xml:space="preserve">פטסלנד</t>
  </si>
  <si>
    <t xml:space="preserve">ציוד לחיות מחמד</t>
  </si>
  <si>
    <t xml:space="preserve">מיטות, רצועות, חטיפים ומזון; סיטונאות בלבד</t>
  </si>
  <si>
    <t xml:space="preserve">מוכרת רק לחנויות (B2B) — הזמנות מהשטח</t>
  </si>
  <si>
    <t xml:space="preserve">ברקן</t>
  </si>
  <si>
    <t xml:space="preserve">petsland.co.il</t>
  </si>
  <si>
    <t xml:space="preserve">054-5286287</t>
  </si>
  <si>
    <t xml:space="preserve">4לייף (4life Israel)</t>
  </si>
  <si>
    <t xml:space="preserve">מזון לחיות מחמד</t>
  </si>
  <si>
    <t xml:space="preserve">מזון לכלבים ולחתולים ומוצרי טיפוח; סיטונאות לחנויות</t>
  </si>
  <si>
    <t xml:space="preserve">מכירה סיטונאית לחנויות</t>
  </si>
  <si>
    <t xml:space="preserve">כפר ברא</t>
  </si>
  <si>
    <t xml:space="preserve">vincentpet.co.il</t>
  </si>
  <si>
    <t xml:space="preserve">054-3592717 / sales@vincentpet.co.il</t>
  </si>
  <si>
    <t xml:space="preserve">קונטיפט</t>
  </si>
  <si>
    <t xml:space="preserve">Profine, North Paw, Kitty Max ועוד; לחנויות מובילות</t>
  </si>
  <si>
    <t xml:space="preserve">מפיץ מותגים שעובד מול חנויות</t>
  </si>
  <si>
    <t xml:space="preserve">א.ת. כנות</t>
  </si>
  <si>
    <t xml:space="preserve">contipet.co.il</t>
  </si>
  <si>
    <t xml:space="preserve">072-2220098 / info@contipet.com</t>
  </si>
  <si>
    <t xml:space="preserve">PAWLY (פאולי)</t>
  </si>
  <si>
    <t xml:space="preserve">קטלוג סיטונאי של 236 מוצרים; לבעלי חנויות חיות</t>
  </si>
  <si>
    <t xml:space="preserve">קטלוג סיטונאי ייעודי לחנויות</t>
  </si>
  <si>
    <t xml:space="preserve">תל אביב</t>
  </si>
  <si>
    <t xml:space="preserve">pawly.co.il</t>
  </si>
  <si>
    <t xml:space="preserve">050-7423600 / info@pawly.co.il</t>
  </si>
  <si>
    <t xml:space="preserve">Holy Pet</t>
  </si>
  <si>
    <t xml:space="preserve">יבואן ומפיץ סיטונאי; לחנויות ורשתות, לעסקים בלבד</t>
  </si>
  <si>
    <t xml:space="preserve">הפצה סיטונאית לחנויות</t>
  </si>
  <si>
    <t xml:space="preserve">רינתיה</t>
  </si>
  <si>
    <t xml:space="preserve">holypet.co.il</t>
  </si>
  <si>
    <t xml:space="preserve">050-7770389</t>
  </si>
  <si>
    <t xml:space="preserve">גלניר</t>
  </si>
  <si>
    <t xml:space="preserve">ניקיון, היגיינה וחד-פעמי</t>
  </si>
  <si>
    <t xml:space="preserve">נייר, מתקנים, חד-פעמי וחומרי ניקוי; למשרדים, מפעלים, מלונות, בתי אבות ומוסדות חינוך</t>
  </si>
  <si>
    <t xml:space="preserve">לפי האתר, מעסיקים נציגי מכירות</t>
  </si>
  <si>
    <t xml:space="preserve">galnir.co.il</t>
  </si>
  <si>
    <t xml:space="preserve">03-9519960</t>
  </si>
  <si>
    <t xml:space="preserve">ר.ד אוליפנט</t>
  </si>
  <si>
    <t xml:space="preserve">חד-פעמי, ניקיון והיגיינה</t>
  </si>
  <si>
    <t xml:space="preserve">סיטונאות חד-פעמי, אריזות וחומרי ניקוי; למסעדות, משרדים, מוסדות ורשויות</t>
  </si>
  <si>
    <t xml:space="preserve">הרבה לקוחות מוסדיים עם הזמנות חוזרות</t>
  </si>
  <si>
    <t xml:space="preserve">רמת השרון</t>
  </si>
  <si>
    <t xml:space="preserve">rdolifant.co.il</t>
  </si>
  <si>
    <t xml:space="preserve">03-9044661</t>
  </si>
  <si>
    <t xml:space="preserve">סטאר פרופשיונל</t>
  </si>
  <si>
    <t xml:space="preserve">ניקיון, נייר וחד-פעמי</t>
  </si>
  <si>
    <t xml:space="preserve">חומרי ניקוי, נייר ואריזות; למסעדות, קייטרינג, מאפיות ומוסדות חינוך</t>
  </si>
  <si>
    <t xml:space="preserve">פריסה ארצית ומכירה סיטונאית</t>
  </si>
  <si>
    <t xml:space="preserve">טירת כרמל</t>
  </si>
  <si>
    <t xml:space="preserve">starprofessional.co.il</t>
  </si>
  <si>
    <t xml:space="preserve">1-700-700-546</t>
  </si>
  <si>
    <t xml:space="preserve">גלובל שיווק והפצת חומרי ניקיון</t>
  </si>
  <si>
    <t xml:space="preserve">ניקיון והיגיינה</t>
  </si>
  <si>
    <t xml:space="preserve">חומרי ניקוי, נייר, כפפות ומתקנים; למפעלים, בתי ספר, רשויות, בתי אבות ובתי חולים</t>
  </si>
  <si>
    <t xml:space="preserve">לקוחות מוסדיים מגוונים</t>
  </si>
  <si>
    <t xml:space="preserve">א.ת. שדה חמד</t>
  </si>
  <si>
    <t xml:space="preserve">globalclean.co.il</t>
  </si>
  <si>
    <t xml:space="preserve">054-6999761</t>
  </si>
  <si>
    <t xml:space="preserve">אופיס ישיר</t>
  </si>
  <si>
    <t xml:space="preserve">ציוד משרדי וכלי כתיבה</t>
  </si>
  <si>
    <t xml:space="preserve">כלי כתיבה וציוד משרדי; לעסקים, חנויות, גנים ובתי ספר</t>
  </si>
  <si>
    <t xml:space="preserve">מוכרים גם לחנויות ולמוסדות חינוך</t>
  </si>
  <si>
    <t xml:space="preserve">officeyashir.co.il</t>
  </si>
  <si>
    <t xml:space="preserve">072-3954268</t>
  </si>
  <si>
    <t xml:space="preserve">מעל למצופה יצירה</t>
  </si>
  <si>
    <t xml:space="preserve">ציוד לבתי ספר וגנים / יצירה</t>
  </si>
  <si>
    <t xml:space="preserve">מוצרי יצירה וכלי כתיבה; לגני ילדים ובתי ספר</t>
  </si>
  <si>
    <t xml:space="preserve">לקוחות מוסדיים פזורים</t>
  </si>
  <si>
    <t xml:space="preserve">מודיעין עילית</t>
  </si>
  <si>
    <t xml:space="preserve">ml-create.co.il</t>
  </si>
  <si>
    <t xml:space="preserve">08-9762244</t>
  </si>
  <si>
    <t xml:space="preserve">5Com (פייבקום)</t>
  </si>
  <si>
    <t xml:space="preserve">ציוד משרדי</t>
  </si>
  <si>
    <t xml:space="preserve">שיווק והפצה של ציוד משרדי; לעסקים</t>
  </si>
  <si>
    <t xml:space="preserve">הפצה B2B עם הזמנות חוזרות</t>
  </si>
  <si>
    <t xml:space="preserve">5com.co.il</t>
  </si>
  <si>
    <t xml:space="preserve">03-9279909</t>
  </si>
  <si>
    <t xml:space="preserve">ישראטויס תעשיות 1997</t>
  </si>
  <si>
    <t xml:space="preserve">משחקים וצעצועים</t>
  </si>
  <si>
    <t xml:space="preserve">משחקי קופסה, פאזלים וערכות יצירה; לחנויות צעצועים בכל הארץ</t>
  </si>
  <si>
    <t xml:space="preserve">הפצה לחנויות צעצועים</t>
  </si>
  <si>
    <t xml:space="preserve">isratoys.co.il</t>
  </si>
  <si>
    <t xml:space="preserve">03-9368033</t>
  </si>
  <si>
    <t xml:space="preserve">פוקסמיינד</t>
  </si>
  <si>
    <t xml:space="preserve">משחקי חשיבה</t>
  </si>
  <si>
    <t xml:space="preserve">פיתוח, ייצור, יבוא ושיווק משחקים; בחנויות צעצועים בכל הארץ</t>
  </si>
  <si>
    <t xml:space="preserve">foxmind.co.il</t>
  </si>
  <si>
    <t xml:space="preserve">03-9092034 / info@foxmind.co.il</t>
  </si>
  <si>
    <t xml:space="preserve">קודקוד</t>
  </si>
  <si>
    <t xml:space="preserve">משחקי קופסה ופאזלים (Rummikub, Clementoni, JUMBO)</t>
  </si>
  <si>
    <t xml:space="preserve">משווקת משחקים בשוק עשרות שנים (מכירה לחנויות לא מאומתת)</t>
  </si>
  <si>
    <t xml:space="preserve">kodkod.co.il</t>
  </si>
  <si>
    <t xml:space="preserve">08-9952994</t>
  </si>
  <si>
    <t xml:space="preserve">טופ פליי (Top-Play Israel)</t>
  </si>
  <si>
    <t xml:space="preserve">צעצועים</t>
  </si>
  <si>
    <t xml:space="preserve">צעצועי שלט רחוק ורכבים ממותגים; לחנויות מורשות ולרשתות</t>
  </si>
  <si>
    <t xml:space="preserve">סיטונאות לחנויות ולרשתות</t>
  </si>
  <si>
    <t xml:space="preserve">topplay-toys.co.il</t>
  </si>
  <si>
    <t xml:space="preserve">03-9323767</t>
  </si>
  <si>
    <t xml:space="preserve">סיכום לפי תחום</t>
  </si>
  <si>
    <t xml:space="preserve">מספר חברות</t>
  </si>
  <si>
    <t xml:space="preserve">נקבעה הדגמה</t>
  </si>
  <si>
    <t xml:space="preserve">לקוחות</t>
  </si>
  <si>
    <t xml:space="preserve">סה״כ</t>
  </si>
</sst>
</file>

<file path=xl/styles.xml><?xml version="1.0" encoding="utf-8"?>
<styleSheet xmlns="http://schemas.openxmlformats.org/spreadsheetml/2006/main">
  <numFmts count="2">
    <numFmt numFmtId="164" formatCode="General"/>
    <numFmt numFmtId="165" formatCode="dd/mm/yyyy"/>
  </numFmts>
  <fonts count="12">
    <font>
      <sz val="11"/>
      <color theme="1"/>
      <name val="Calibri"/>
      <family val="2"/>
      <charset val="1"/>
    </font>
    <font>
      <sz val="10"/>
      <name val="Arial"/>
      <family val="0"/>
    </font>
    <font>
      <sz val="10"/>
      <name val="Arial"/>
      <family val="0"/>
    </font>
    <font>
      <sz val="10"/>
      <name val="Arial"/>
      <family val="0"/>
    </font>
    <font>
      <b val="true"/>
      <sz val="15"/>
      <color rgb="FF0F6B74"/>
      <name val="Arial"/>
      <family val="0"/>
      <charset val="1"/>
    </font>
    <font>
      <sz val="10"/>
      <color rgb="FF6B655C"/>
      <name val="Arial"/>
      <family val="0"/>
      <charset val="1"/>
    </font>
    <font>
      <b val="true"/>
      <sz val="11"/>
      <color rgb="FFFFFFFF"/>
      <name val="Arial"/>
      <family val="0"/>
      <charset val="1"/>
    </font>
    <font>
      <sz val="10"/>
      <name val="Arial"/>
      <family val="0"/>
      <charset val="1"/>
    </font>
    <font>
      <u val="single"/>
      <sz val="10"/>
      <color rgb="FF0F6B74"/>
      <name val="Arial"/>
      <family val="0"/>
      <charset val="1"/>
    </font>
    <font>
      <b val="true"/>
      <sz val="13"/>
      <color rgb="FF0F6B74"/>
      <name val="Arial"/>
      <family val="0"/>
      <charset val="1"/>
    </font>
    <font>
      <sz val="11"/>
      <name val="Arial"/>
      <family val="0"/>
      <charset val="1"/>
    </font>
    <font>
      <b val="true"/>
      <sz val="11"/>
      <name val="Arial"/>
      <family val="0"/>
      <charset val="1"/>
    </font>
  </fonts>
  <fills count="7">
    <fill>
      <patternFill patternType="none"/>
    </fill>
    <fill>
      <patternFill patternType="gray125"/>
    </fill>
    <fill>
      <patternFill patternType="solid">
        <fgColor rgb="FF0F6B74"/>
        <bgColor rgb="FF008080"/>
      </patternFill>
    </fill>
    <fill>
      <patternFill patternType="solid">
        <fgColor rgb="FFFBF1F4"/>
        <bgColor rgb="FFFFF6E8"/>
      </patternFill>
    </fill>
    <fill>
      <patternFill patternType="solid">
        <fgColor rgb="FFFFF6E8"/>
        <bgColor rgb="FFFBF1F4"/>
      </patternFill>
    </fill>
    <fill>
      <patternFill patternType="solid">
        <fgColor rgb="FFEEF3F8"/>
        <bgColor rgb="FFEDF6F1"/>
      </patternFill>
    </fill>
    <fill>
      <patternFill patternType="solid">
        <fgColor rgb="FFEDF6F1"/>
        <bgColor rgb="FFEEF3F8"/>
      </patternFill>
    </fill>
  </fills>
  <borders count="2">
    <border diagonalUp="false" diagonalDown="false">
      <left/>
      <right/>
      <top/>
      <bottom/>
      <diagonal/>
    </border>
    <border diagonalUp="false" diagonalDown="false">
      <left/>
      <right/>
      <top/>
      <bottom style="thin">
        <color rgb="FFE0DB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right"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right" vertical="top" textRotation="0" wrapText="true" indent="0" shrinkToFit="false"/>
      <protection locked="true" hidden="false"/>
    </xf>
    <xf numFmtId="164" fontId="7" fillId="3" borderId="1" xfId="0" applyFont="true" applyBorder="true" applyAlignment="true" applyProtection="false">
      <alignment horizontal="right" vertical="top" textRotation="0" wrapText="true" indent="0" shrinkToFit="false"/>
      <protection locked="true" hidden="false"/>
    </xf>
    <xf numFmtId="164" fontId="8" fillId="0" borderId="1" xfId="0" applyFont="true" applyBorder="true" applyAlignment="true" applyProtection="false">
      <alignment horizontal="right" vertical="top" textRotation="0" wrapText="true" indent="0" shrinkToFit="false"/>
      <protection locked="true" hidden="false"/>
    </xf>
    <xf numFmtId="165" fontId="7" fillId="0" borderId="1" xfId="0" applyFont="true" applyBorder="true" applyAlignment="true" applyProtection="false">
      <alignment horizontal="right" vertical="top" textRotation="0" wrapText="true" indent="0" shrinkToFit="false"/>
      <protection locked="true" hidden="false"/>
    </xf>
    <xf numFmtId="164" fontId="7" fillId="4" borderId="1" xfId="0" applyFont="true" applyBorder="true" applyAlignment="true" applyProtection="false">
      <alignment horizontal="right" vertical="top" textRotation="0" wrapText="true" indent="0" shrinkToFit="false"/>
      <protection locked="true" hidden="false"/>
    </xf>
    <xf numFmtId="164" fontId="7" fillId="5" borderId="1" xfId="0" applyFont="true" applyBorder="true" applyAlignment="true" applyProtection="false">
      <alignment horizontal="right" vertical="top" textRotation="0" wrapText="true" indent="0" shrinkToFit="false"/>
      <protection locked="true" hidden="false"/>
    </xf>
    <xf numFmtId="164" fontId="7" fillId="6" borderId="1" xfId="0" applyFont="true" applyBorder="true" applyAlignment="true" applyProtection="false">
      <alignment horizontal="righ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F6B74"/>
          <bgColor rgb="FF000000"/>
        </patternFill>
      </fill>
    </dxf>
    <dxf>
      <fill>
        <patternFill patternType="solid">
          <bgColor rgb="FF000000"/>
        </patternFill>
      </fill>
    </dxf>
    <dxf>
      <fill>
        <patternFill patternType="solid">
          <fgColor rgb="FFFFFFFF"/>
          <bgColor rgb="FF000000"/>
        </patternFill>
      </fill>
    </dxf>
    <dxf>
      <fill>
        <patternFill patternType="solid">
          <fgColor rgb="FFEDF6F1"/>
          <bgColor rgb="FF000000"/>
        </patternFill>
      </fill>
    </dxf>
    <dxf>
      <fill>
        <patternFill patternType="solid">
          <fgColor rgb="FFEEF3F8"/>
          <bgColor rgb="FF000000"/>
        </patternFill>
      </fill>
    </dxf>
    <dxf>
      <fill>
        <patternFill patternType="solid">
          <fgColor rgb="FFFBF1F4"/>
          <bgColor rgb="FF000000"/>
        </patternFill>
      </fill>
    </dxf>
    <dxf>
      <fill>
        <patternFill patternType="solid">
          <fgColor rgb="FFFFF6E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74"/>
      <rgbColor rgb="FFC0C0C0"/>
      <rgbColor rgb="FF808080"/>
      <rgbColor rgb="FF9999FF"/>
      <rgbColor rgb="FF993366"/>
      <rgbColor rgb="FFFFF6E8"/>
      <rgbColor rgb="FFEDF6F1"/>
      <rgbColor rgb="FF660066"/>
      <rgbColor rgb="FFFF8080"/>
      <rgbColor rgb="FF0066CC"/>
      <rgbColor rgb="FFE0DBD2"/>
      <rgbColor rgb="FF000080"/>
      <rgbColor rgb="FFFF00FF"/>
      <rgbColor rgb="FFFFFF00"/>
      <rgbColor rgb="FF00FFFF"/>
      <rgbColor rgb="FF800080"/>
      <rgbColor rgb="FF800000"/>
      <rgbColor rgb="FF008080"/>
      <rgbColor rgb="FF0000FF"/>
      <rgbColor rgb="FF00CCFF"/>
      <rgbColor rgb="FFEEF3F8"/>
      <rgbColor rgb="FFFBF1F4"/>
      <rgbColor rgb="FFFFFF99"/>
      <rgbColor rgb="FF99CCFF"/>
      <rgbColor rgb="FFFF99CC"/>
      <rgbColor rgb="FFCC99FF"/>
      <rgbColor rgb="FFFFCC99"/>
      <rgbColor rgb="FF3366FF"/>
      <rgbColor rgb="FF33CCCC"/>
      <rgbColor rgb="FF99CC00"/>
      <rgbColor rgb="FFFFCC00"/>
      <rgbColor rgb="FFFF9900"/>
      <rgbColor rgb="FFFF6600"/>
      <rgbColor rgb="FF6B655C"/>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chestowitz.co.il/" TargetMode="External"/><Relationship Id="rId2" Type="http://schemas.openxmlformats.org/officeDocument/2006/relationships/hyperlink" Target="https://www.hon.co.il/?p=117774" TargetMode="External"/><Relationship Id="rId3" Type="http://schemas.openxmlformats.org/officeDocument/2006/relationships/hyperlink" Target="https://alpa-cosmetics.co.il/" TargetMode="External"/><Relationship Id="rId4" Type="http://schemas.openxmlformats.org/officeDocument/2006/relationships/hyperlink" Target="https://www.alpa-cosmetics.co.il/" TargetMode="External"/><Relationship Id="rId5" Type="http://schemas.openxmlformats.org/officeDocument/2006/relationships/hyperlink" Target="https://lilit.co.il/" TargetMode="External"/><Relationship Id="rId6" Type="http://schemas.openxmlformats.org/officeDocument/2006/relationships/hyperlink" Target="https://www.alljobs.co.il/Employer/HP/Default.aspx?cid=164217" TargetMode="External"/><Relationship Id="rId7" Type="http://schemas.openxmlformats.org/officeDocument/2006/relationships/hyperlink" Target="https://altman.co.il/" TargetMode="External"/><Relationship Id="rId8" Type="http://schemas.openxmlformats.org/officeDocument/2006/relationships/hyperlink" Target="https://www.altman.co.il/" TargetMode="External"/><Relationship Id="rId9" Type="http://schemas.openxmlformats.org/officeDocument/2006/relationships/hyperlink" Target="https://supherb.co.il/" TargetMode="External"/><Relationship Id="rId10" Type="http://schemas.openxmlformats.org/officeDocument/2006/relationships/hyperlink" Target="https://www.supherb.co.il/" TargetMode="External"/><Relationship Id="rId11" Type="http://schemas.openxmlformats.org/officeDocument/2006/relationships/hyperlink" Target="https://chichlavin.com/" TargetMode="External"/><Relationship Id="rId12" Type="http://schemas.openxmlformats.org/officeDocument/2006/relationships/hyperlink" Target="https://chichlavin.com/" TargetMode="External"/><Relationship Id="rId13" Type="http://schemas.openxmlformats.org/officeDocument/2006/relationships/hyperlink" Target="https://dr-fischer.co.il/" TargetMode="External"/><Relationship Id="rId14" Type="http://schemas.openxmlformats.org/officeDocument/2006/relationships/hyperlink" Target="https://www.dr-fischer.co.il/" TargetMode="External"/><Relationship Id="rId15" Type="http://schemas.openxmlformats.org/officeDocument/2006/relationships/hyperlink" Target="https://annalotan.com/" TargetMode="External"/><Relationship Id="rId16" Type="http://schemas.openxmlformats.org/officeDocument/2006/relationships/hyperlink" Target="https://www.annalotan.com/" TargetMode="External"/><Relationship Id="rId17" Type="http://schemas.openxmlformats.org/officeDocument/2006/relationships/hyperlink" Target="https://rekah.co.il/" TargetMode="External"/><Relationship Id="rId18" Type="http://schemas.openxmlformats.org/officeDocument/2006/relationships/hyperlink" Target="https://www.rekah.co.il/" TargetMode="External"/><Relationship Id="rId19" Type="http://schemas.openxmlformats.org/officeDocument/2006/relationships/hyperlink" Target="https://gigi.co.il/" TargetMode="External"/><Relationship Id="rId20" Type="http://schemas.openxmlformats.org/officeDocument/2006/relationships/hyperlink" Target="https://www.gigi.co.il/" TargetMode="External"/><Relationship Id="rId21" Type="http://schemas.openxmlformats.org/officeDocument/2006/relationships/hyperlink" Target="https://pharma-cosmetics.com/" TargetMode="External"/><Relationship Id="rId22" Type="http://schemas.openxmlformats.org/officeDocument/2006/relationships/hyperlink" Target="https://www.pharma-cosmetics.com/" TargetMode="External"/><Relationship Id="rId23" Type="http://schemas.openxmlformats.org/officeDocument/2006/relationships/hyperlink" Target="https://commerce-line.co.il/" TargetMode="External"/><Relationship Id="rId24" Type="http://schemas.openxmlformats.org/officeDocument/2006/relationships/hyperlink" Target="https://www.commerce-line.co.il/" TargetMode="External"/><Relationship Id="rId25" Type="http://schemas.openxmlformats.org/officeDocument/2006/relationships/hyperlink" Target="https://kcare.co.il/" TargetMode="External"/><Relationship Id="rId26" Type="http://schemas.openxmlformats.org/officeDocument/2006/relationships/hyperlink" Target="https://www.kcare.co.il/" TargetMode="External"/><Relationship Id="rId27" Type="http://schemas.openxmlformats.org/officeDocument/2006/relationships/hyperlink" Target="https://fine-rituals.com/" TargetMode="External"/><Relationship Id="rId28" Type="http://schemas.openxmlformats.org/officeDocument/2006/relationships/hyperlink" Target="https://www.fine-rituals.com/en/pages/distribution" TargetMode="External"/><Relationship Id="rId29" Type="http://schemas.openxmlformats.org/officeDocument/2006/relationships/hyperlink" Target="https://hairlife.co.il/" TargetMode="External"/><Relationship Id="rId30" Type="http://schemas.openxmlformats.org/officeDocument/2006/relationships/hyperlink" Target="https://www.d.co.il/32908140/30570/" TargetMode="External"/><Relationship Id="rId31" Type="http://schemas.openxmlformats.org/officeDocument/2006/relationships/hyperlink" Target="https://gidoncosmetics.co.il/" TargetMode="External"/><Relationship Id="rId32" Type="http://schemas.openxmlformats.org/officeDocument/2006/relationships/hyperlink" Target="https://www.gidoncosmetics.co.il/company-profile/" TargetMode="External"/><Relationship Id="rId33" Type="http://schemas.openxmlformats.org/officeDocument/2006/relationships/hyperlink" Target="https://www.drushim.co.il/&#1491;&#1512;&#1493;&#1513;&#1497;&#1501;-3866636-&#1508;&#1488;&#1512;&#1502;&#1492;&#1491;&#1497;&#1500;/" TargetMode="External"/><Relationship Id="rId34" Type="http://schemas.openxmlformats.org/officeDocument/2006/relationships/hyperlink" Target="https://lavido.com/" TargetMode="External"/><Relationship Id="rId35" Type="http://schemas.openxmlformats.org/officeDocument/2006/relationships/hyperlink" Target="https://www.beautyindependent.com/lavido-diaper-salve-israel-global-natural-beauty-brand/" TargetMode="External"/><Relationship Id="rId36" Type="http://schemas.openxmlformats.org/officeDocument/2006/relationships/hyperlink" Target="https://careline.co.il/" TargetMode="External"/><Relationship Id="rId37" Type="http://schemas.openxmlformats.org/officeDocument/2006/relationships/hyperlink" Target="https://en.globes.co.il/en/article-1000510091" TargetMode="External"/><Relationship Id="rId38" Type="http://schemas.openxmlformats.org/officeDocument/2006/relationships/hyperlink" Target="https://biopeptix.com/" TargetMode="External"/><Relationship Id="rId39" Type="http://schemas.openxmlformats.org/officeDocument/2006/relationships/hyperlink" Target="https://www.businesswire.com/news/home/20200917005263/en/" TargetMode="External"/><Relationship Id="rId40" Type="http://schemas.openxmlformats.org/officeDocument/2006/relationships/hyperlink" Target="https://www.esteticaexport.com/elias-sassonic-distributing-in-israel-promising-but-hard-market/" TargetMode="External"/><Relationship Id="rId41" Type="http://schemas.openxmlformats.org/officeDocument/2006/relationships/hyperlink" Target="https://churishop.co.il/" TargetMode="External"/><Relationship Id="rId42" Type="http://schemas.openxmlformats.org/officeDocument/2006/relationships/hyperlink" Target="https://apps.apple.com/us/app/id1550975442" TargetMode="External"/><Relationship Id="rId43" Type="http://schemas.openxmlformats.org/officeDocument/2006/relationships/hyperlink" Target="https://sano.co.il/" TargetMode="External"/><Relationship Id="rId44" Type="http://schemas.openxmlformats.org/officeDocument/2006/relationships/hyperlink" Target="https://www.listcompany.org/Hair_Care_Products_In_Israel.html" TargetMode="External"/><Relationship Id="rId45" Type="http://schemas.openxmlformats.org/officeDocument/2006/relationships/hyperlink" Target="https://s-schwartz.com/" TargetMode="External"/><Relationship Id="rId46" Type="http://schemas.openxmlformats.org/officeDocument/2006/relationships/hyperlink" Target="https://www.s-schwartz.com/" TargetMode="External"/><Relationship Id="rId47" Type="http://schemas.openxmlformats.org/officeDocument/2006/relationships/hyperlink" Target="https://diplomat-global.com/" TargetMode="External"/><Relationship Id="rId48" Type="http://schemas.openxmlformats.org/officeDocument/2006/relationships/hyperlink" Target="https://www.diplomat-global.com/" TargetMode="External"/><Relationship Id="rId49" Type="http://schemas.openxmlformats.org/officeDocument/2006/relationships/hyperlink" Target="https://willi-food.co.il/" TargetMode="External"/><Relationship Id="rId50" Type="http://schemas.openxmlformats.org/officeDocument/2006/relationships/hyperlink" Target="https://www.willi-food.co.il/en/homepage/" TargetMode="External"/><Relationship Id="rId51" Type="http://schemas.openxmlformats.org/officeDocument/2006/relationships/hyperlink" Target="https://taaman.co.il/" TargetMode="External"/><Relationship Id="rId52" Type="http://schemas.openxmlformats.org/officeDocument/2006/relationships/hyperlink" Target="https://www.taaman.co.il/" TargetMode="External"/><Relationship Id="rId53" Type="http://schemas.openxmlformats.org/officeDocument/2006/relationships/hyperlink" Target="https://adomgroup.com/" TargetMode="External"/><Relationship Id="rId54" Type="http://schemas.openxmlformats.org/officeDocument/2006/relationships/hyperlink" Target="https://adomgroup.com/" TargetMode="External"/><Relationship Id="rId55" Type="http://schemas.openxmlformats.org/officeDocument/2006/relationships/hyperlink" Target="https://anshel.com/" TargetMode="External"/><Relationship Id="rId56" Type="http://schemas.openxmlformats.org/officeDocument/2006/relationships/hyperlink" Target="https://anshel.com/" TargetMode="External"/><Relationship Id="rId57" Type="http://schemas.openxmlformats.org/officeDocument/2006/relationships/hyperlink" Target="https://israco.co.il/" TargetMode="External"/><Relationship Id="rId58" Type="http://schemas.openxmlformats.org/officeDocument/2006/relationships/hyperlink" Target="https://bestfoodimporters.com/company/israco-international-food-brands-marketing-ltd/" TargetMode="External"/><Relationship Id="rId59" Type="http://schemas.openxmlformats.org/officeDocument/2006/relationships/hyperlink" Target="https://tomerltd.co.il/" TargetMode="External"/><Relationship Id="rId60" Type="http://schemas.openxmlformats.org/officeDocument/2006/relationships/hyperlink" Target="https://www.tomerltd.co.il/" TargetMode="External"/><Relationship Id="rId61" Type="http://schemas.openxmlformats.org/officeDocument/2006/relationships/hyperlink" Target="https://robertofood.com/" TargetMode="External"/><Relationship Id="rId62" Type="http://schemas.openxmlformats.org/officeDocument/2006/relationships/hyperlink" Target="https://www.robertofood.com/" TargetMode="External"/><Relationship Id="rId63" Type="http://schemas.openxmlformats.org/officeDocument/2006/relationships/hyperlink" Target="https://latfood.co.il/" TargetMode="External"/><Relationship Id="rId64" Type="http://schemas.openxmlformats.org/officeDocument/2006/relationships/hyperlink" Target="https://latfood.co.il/en/" TargetMode="External"/><Relationship Id="rId65" Type="http://schemas.openxmlformats.org/officeDocument/2006/relationships/hyperlink" Target="https://rmt-ltd.com/" TargetMode="External"/><Relationship Id="rId66" Type="http://schemas.openxmlformats.org/officeDocument/2006/relationships/hyperlink" Target="https://rmt-ltd.com/" TargetMode="External"/><Relationship Id="rId67" Type="http://schemas.openxmlformats.org/officeDocument/2006/relationships/hyperlink" Target="https://meshukladis.com/" TargetMode="External"/><Relationship Id="rId68" Type="http://schemas.openxmlformats.org/officeDocument/2006/relationships/hyperlink" Target="https://www.meshukladis.com/en/contact-us/" TargetMode="External"/><Relationship Id="rId69" Type="http://schemas.openxmlformats.org/officeDocument/2006/relationships/hyperlink" Target="https://moryam.co.il/" TargetMode="External"/><Relationship Id="rId70" Type="http://schemas.openxmlformats.org/officeDocument/2006/relationships/hyperlink" Target="https://moryam.co.il/" TargetMode="External"/><Relationship Id="rId71" Type="http://schemas.openxmlformats.org/officeDocument/2006/relationships/hyperlink" Target="https://y-shabi.co.il/" TargetMode="External"/><Relationship Id="rId72" Type="http://schemas.openxmlformats.org/officeDocument/2006/relationships/hyperlink" Target="https://www.y-shabi.co.il/" TargetMode="External"/><Relationship Id="rId73" Type="http://schemas.openxmlformats.org/officeDocument/2006/relationships/hyperlink" Target="https://agmfood.co.il/" TargetMode="External"/><Relationship Id="rId74" Type="http://schemas.openxmlformats.org/officeDocument/2006/relationships/hyperlink" Target="https://www.agmfood.co.il/" TargetMode="External"/><Relationship Id="rId75" Type="http://schemas.openxmlformats.org/officeDocument/2006/relationships/hyperlink" Target="https://cohenb.com/" TargetMode="External"/><Relationship Id="rId76" Type="http://schemas.openxmlformats.org/officeDocument/2006/relationships/hyperlink" Target="https://www.cohenb.com/" TargetMode="External"/><Relationship Id="rId77" Type="http://schemas.openxmlformats.org/officeDocument/2006/relationships/hyperlink" Target="https://hborganic.co.il/" TargetMode="External"/><Relationship Id="rId78" Type="http://schemas.openxmlformats.org/officeDocument/2006/relationships/hyperlink" Target="https://hborganic.co.il/" TargetMode="External"/><Relationship Id="rId79" Type="http://schemas.openxmlformats.org/officeDocument/2006/relationships/hyperlink" Target="https://school-market.co.il/" TargetMode="External"/><Relationship Id="rId80" Type="http://schemas.openxmlformats.org/officeDocument/2006/relationships/hyperlink" Target="https://www.school-market.co.il/" TargetMode="External"/><Relationship Id="rId81" Type="http://schemas.openxmlformats.org/officeDocument/2006/relationships/hyperlink" Target="https://zaafrany.co.il/" TargetMode="External"/><Relationship Id="rId82" Type="http://schemas.openxmlformats.org/officeDocument/2006/relationships/hyperlink" Target="https://www.zaafrany.co.il/" TargetMode="External"/><Relationship Id="rId83" Type="http://schemas.openxmlformats.org/officeDocument/2006/relationships/hyperlink" Target="https://tav-faran.co.il/" TargetMode="External"/><Relationship Id="rId84" Type="http://schemas.openxmlformats.org/officeDocument/2006/relationships/hyperlink" Target="https://www.tav-faran.co.il/" TargetMode="External"/><Relationship Id="rId85" Type="http://schemas.openxmlformats.org/officeDocument/2006/relationships/hyperlink" Target="https://neve-t.co.il/" TargetMode="External"/><Relationship Id="rId86" Type="http://schemas.openxmlformats.org/officeDocument/2006/relationships/hyperlink" Target="https://www.neve-t.co.il/" TargetMode="External"/><Relationship Id="rId87" Type="http://schemas.openxmlformats.org/officeDocument/2006/relationships/hyperlink" Target="https://tavlineypereg.co.il/" TargetMode="External"/><Relationship Id="rId88" Type="http://schemas.openxmlformats.org/officeDocument/2006/relationships/hyperlink" Target="https://www.tavlineypereg.co.il/resellers.asp" TargetMode="External"/><Relationship Id="rId89" Type="http://schemas.openxmlformats.org/officeDocument/2006/relationships/hyperlink" Target="https://kafuzan.co.il/" TargetMode="External"/><Relationship Id="rId90" Type="http://schemas.openxmlformats.org/officeDocument/2006/relationships/hyperlink" Target="https://www.kafuzan.co.il/" TargetMode="External"/><Relationship Id="rId91" Type="http://schemas.openxmlformats.org/officeDocument/2006/relationships/hyperlink" Target="https://matamim.co.il/" TargetMode="External"/><Relationship Id="rId92" Type="http://schemas.openxmlformats.org/officeDocument/2006/relationships/hyperlink" Target="https://matamim.co.il/" TargetMode="External"/><Relationship Id="rId93" Type="http://schemas.openxmlformats.org/officeDocument/2006/relationships/hyperlink" Target="https://hacarem.com/" TargetMode="External"/><Relationship Id="rId94" Type="http://schemas.openxmlformats.org/officeDocument/2006/relationships/hyperlink" Target="https://www.hacarem.com/" TargetMode="External"/><Relationship Id="rId95" Type="http://schemas.openxmlformats.org/officeDocument/2006/relationships/hyperlink" Target="https://halva.co.il/" TargetMode="External"/><Relationship Id="rId96" Type="http://schemas.openxmlformats.org/officeDocument/2006/relationships/hyperlink" Target="https://www.science.co.il/agriculture/Companies.php?s=food" TargetMode="External"/><Relationship Id="rId97" Type="http://schemas.openxmlformats.org/officeDocument/2006/relationships/hyperlink" Target="https://neeman-ltd.co.il/" TargetMode="External"/><Relationship Id="rId98" Type="http://schemas.openxmlformats.org/officeDocument/2006/relationships/hyperlink" Target="https://www.neeman-ltd.co.il/" TargetMode="External"/><Relationship Id="rId99" Type="http://schemas.openxmlformats.org/officeDocument/2006/relationships/hyperlink" Target="https://kapro.com/" TargetMode="External"/><Relationship Id="rId100" Type="http://schemas.openxmlformats.org/officeDocument/2006/relationships/hyperlink" Target="https://www.kapro.com/" TargetMode="External"/><Relationship Id="rId101" Type="http://schemas.openxmlformats.org/officeDocument/2006/relationships/hyperlink" Target="https://nirlat.com/" TargetMode="External"/><Relationship Id="rId102" Type="http://schemas.openxmlformats.org/officeDocument/2006/relationships/hyperlink" Target="https://www.nirlat.com/" TargetMode="External"/><Relationship Id="rId103" Type="http://schemas.openxmlformats.org/officeDocument/2006/relationships/hyperlink" Target="https://tambour.co.il/" TargetMode="External"/><Relationship Id="rId104" Type="http://schemas.openxmlformats.org/officeDocument/2006/relationships/hyperlink" Target="https://www.tambour.co.il/" TargetMode="External"/><Relationship Id="rId105" Type="http://schemas.openxmlformats.org/officeDocument/2006/relationships/hyperlink" Target="https://lkltd.co.il/" TargetMode="External"/><Relationship Id="rId106" Type="http://schemas.openxmlformats.org/officeDocument/2006/relationships/hyperlink" Target="https://www.lkltd.co.il/" TargetMode="External"/><Relationship Id="rId107" Type="http://schemas.openxmlformats.org/officeDocument/2006/relationships/hyperlink" Target="https://prt.co.il/" TargetMode="External"/><Relationship Id="rId108" Type="http://schemas.openxmlformats.org/officeDocument/2006/relationships/hyperlink" Target="https://www.prt.co.il/" TargetMode="External"/><Relationship Id="rId109" Type="http://schemas.openxmlformats.org/officeDocument/2006/relationships/hyperlink" Target="https://pro-safety.co.il/" TargetMode="External"/><Relationship Id="rId110" Type="http://schemas.openxmlformats.org/officeDocument/2006/relationships/hyperlink" Target="https://www.pro-safety.co.il/" TargetMode="External"/><Relationship Id="rId111" Type="http://schemas.openxmlformats.org/officeDocument/2006/relationships/hyperlink" Target="https://argentools.co.il/" TargetMode="External"/><Relationship Id="rId112" Type="http://schemas.openxmlformats.org/officeDocument/2006/relationships/hyperlink" Target="https://www.argentools.co.il/" TargetMode="External"/><Relationship Id="rId113" Type="http://schemas.openxmlformats.org/officeDocument/2006/relationships/hyperlink" Target="https://huge-tools.com/" TargetMode="External"/><Relationship Id="rId114" Type="http://schemas.openxmlformats.org/officeDocument/2006/relationships/hyperlink" Target="https://huge-tools.com/about-us/" TargetMode="External"/><Relationship Id="rId115" Type="http://schemas.openxmlformats.org/officeDocument/2006/relationships/hyperlink" Target="https://gilar.co.il/" TargetMode="External"/><Relationship Id="rId116" Type="http://schemas.openxmlformats.org/officeDocument/2006/relationships/hyperlink" Target="https://gilar.co.il/distributors/" TargetMode="External"/><Relationship Id="rId117" Type="http://schemas.openxmlformats.org/officeDocument/2006/relationships/hyperlink" Target="https://technobar.co.il/" TargetMode="External"/><Relationship Id="rId118" Type="http://schemas.openxmlformats.org/officeDocument/2006/relationships/hyperlink" Target="https://www.technobar.co.il/" TargetMode="External"/><Relationship Id="rId119" Type="http://schemas.openxmlformats.org/officeDocument/2006/relationships/hyperlink" Target="https://uboparts.co.il/" TargetMode="External"/><Relationship Id="rId120" Type="http://schemas.openxmlformats.org/officeDocument/2006/relationships/hyperlink" Target="https://www.uboparts.co.il/" TargetMode="External"/><Relationship Id="rId121" Type="http://schemas.openxmlformats.org/officeDocument/2006/relationships/hyperlink" Target="https://liquimoly.co.il/" TargetMode="External"/><Relationship Id="rId122" Type="http://schemas.openxmlformats.org/officeDocument/2006/relationships/hyperlink" Target="https://www.liquimoly.co.il/" TargetMode="External"/><Relationship Id="rId123" Type="http://schemas.openxmlformats.org/officeDocument/2006/relationships/hyperlink" Target="https://mavosh.co.il/" TargetMode="External"/><Relationship Id="rId124" Type="http://schemas.openxmlformats.org/officeDocument/2006/relationships/hyperlink" Target="https://www.mavosh.co.il/" TargetMode="External"/><Relationship Id="rId125" Type="http://schemas.openxmlformats.org/officeDocument/2006/relationships/hyperlink" Target="https://devtec.co.il/" TargetMode="External"/><Relationship Id="rId126" Type="http://schemas.openxmlformats.org/officeDocument/2006/relationships/hyperlink" Target="https://devtec.co.il/" TargetMode="External"/><Relationship Id="rId127" Type="http://schemas.openxmlformats.org/officeDocument/2006/relationships/hyperlink" Target="https://zoko.co.il/" TargetMode="External"/><Relationship Id="rId128" Type="http://schemas.openxmlformats.org/officeDocument/2006/relationships/hyperlink" Target="https://www.zoko.co.il/" TargetMode="External"/><Relationship Id="rId129" Type="http://schemas.openxmlformats.org/officeDocument/2006/relationships/hyperlink" Target="https://glikman-or.co.il/" TargetMode="External"/><Relationship Id="rId130" Type="http://schemas.openxmlformats.org/officeDocument/2006/relationships/hyperlink" Target="https://www.glikman-or.co.il/" TargetMode="External"/><Relationship Id="rId131" Type="http://schemas.openxmlformats.org/officeDocument/2006/relationships/hyperlink" Target="https://saltech.co.il/" TargetMode="External"/><Relationship Id="rId132" Type="http://schemas.openxmlformats.org/officeDocument/2006/relationships/hyperlink" Target="https://www.saltech.co.il/" TargetMode="External"/><Relationship Id="rId133" Type="http://schemas.openxmlformats.org/officeDocument/2006/relationships/hyperlink" Target="https://alfatek.co.il/" TargetMode="External"/><Relationship Id="rId134" Type="http://schemas.openxmlformats.org/officeDocument/2006/relationships/hyperlink" Target="https://www.alfatek.co.il/" TargetMode="External"/><Relationship Id="rId135" Type="http://schemas.openxmlformats.org/officeDocument/2006/relationships/hyperlink" Target="https://ofirsapakim.co.il/" TargetMode="External"/><Relationship Id="rId136" Type="http://schemas.openxmlformats.org/officeDocument/2006/relationships/hyperlink" Target="https://ofirsapakim.co.il/" TargetMode="External"/><Relationship Id="rId137" Type="http://schemas.openxmlformats.org/officeDocument/2006/relationships/hyperlink" Target="https://davik.co.il/" TargetMode="External"/><Relationship Id="rId138" Type="http://schemas.openxmlformats.org/officeDocument/2006/relationships/hyperlink" Target="https://davik.co.il/" TargetMode="External"/><Relationship Id="rId139" Type="http://schemas.openxmlformats.org/officeDocument/2006/relationships/hyperlink" Target="https://isralak.co.il/" TargetMode="External"/><Relationship Id="rId140" Type="http://schemas.openxmlformats.org/officeDocument/2006/relationships/hyperlink" Target="https://isralak.co.il/" TargetMode="External"/><Relationship Id="rId141" Type="http://schemas.openxmlformats.org/officeDocument/2006/relationships/hyperlink" Target="https://denber.net/" TargetMode="External"/><Relationship Id="rId142" Type="http://schemas.openxmlformats.org/officeDocument/2006/relationships/hyperlink" Target="https://denber.net/" TargetMode="External"/><Relationship Id="rId143" Type="http://schemas.openxmlformats.org/officeDocument/2006/relationships/hyperlink" Target="https://toolgal.com/" TargetMode="External"/><Relationship Id="rId144" Type="http://schemas.openxmlformats.org/officeDocument/2006/relationships/hyperlink" Target="https://www.toolgal.com/" TargetMode="External"/><Relationship Id="rId145" Type="http://schemas.openxmlformats.org/officeDocument/2006/relationships/hyperlink" Target="https://petrotech.co.il/" TargetMode="External"/><Relationship Id="rId146" Type="http://schemas.openxmlformats.org/officeDocument/2006/relationships/hyperlink" Target="https://www.petrotech.co.il/" TargetMode="External"/><Relationship Id="rId147" Type="http://schemas.openxmlformats.org/officeDocument/2006/relationships/hyperlink" Target="https://schnapp.co.il/" TargetMode="External"/><Relationship Id="rId148" Type="http://schemas.openxmlformats.org/officeDocument/2006/relationships/hyperlink" Target="https://www.schnapp.co.il/" TargetMode="External"/><Relationship Id="rId149" Type="http://schemas.openxmlformats.org/officeDocument/2006/relationships/hyperlink" Target="https://mfcl.co.il/" TargetMode="External"/><Relationship Id="rId150" Type="http://schemas.openxmlformats.org/officeDocument/2006/relationships/hyperlink" Target="https://www.mfcl.co.il/" TargetMode="External"/><Relationship Id="rId151" Type="http://schemas.openxmlformats.org/officeDocument/2006/relationships/hyperlink" Target="https://dynotc.co.il/" TargetMode="External"/><Relationship Id="rId152" Type="http://schemas.openxmlformats.org/officeDocument/2006/relationships/hyperlink" Target="https://www.dynotc.co.il/en/home" TargetMode="External"/><Relationship Id="rId153" Type="http://schemas.openxmlformats.org/officeDocument/2006/relationships/hyperlink" Target="https://medikal.co.il/" TargetMode="External"/><Relationship Id="rId154" Type="http://schemas.openxmlformats.org/officeDocument/2006/relationships/hyperlink" Target="https://medikal.co.il/" TargetMode="External"/><Relationship Id="rId155" Type="http://schemas.openxmlformats.org/officeDocument/2006/relationships/hyperlink" Target="https://belmonthm.com/" TargetMode="External"/><Relationship Id="rId156" Type="http://schemas.openxmlformats.org/officeDocument/2006/relationships/hyperlink" Target="https://belmonthm.com/" TargetMode="External"/><Relationship Id="rId157" Type="http://schemas.openxmlformats.org/officeDocument/2006/relationships/hyperlink" Target="https://dentalcenter-er.com/" TargetMode="External"/><Relationship Id="rId158" Type="http://schemas.openxmlformats.org/officeDocument/2006/relationships/hyperlink" Target="https://www.dentalcenter-er.com/aboutdentalcenter" TargetMode="External"/><Relationship Id="rId159" Type="http://schemas.openxmlformats.org/officeDocument/2006/relationships/hyperlink" Target="https://matov.co.il/" TargetMode="External"/><Relationship Id="rId160" Type="http://schemas.openxmlformats.org/officeDocument/2006/relationships/hyperlink" Target="https://matov.co.il/" TargetMode="External"/><Relationship Id="rId161" Type="http://schemas.openxmlformats.org/officeDocument/2006/relationships/hyperlink" Target="https://savion.co.il/" TargetMode="External"/><Relationship Id="rId162" Type="http://schemas.openxmlformats.org/officeDocument/2006/relationships/hyperlink" Target="https://savion.co.il/" TargetMode="External"/><Relationship Id="rId163" Type="http://schemas.openxmlformats.org/officeDocument/2006/relationships/hyperlink" Target="https://kalir.net/" TargetMode="External"/><Relationship Id="rId164" Type="http://schemas.openxmlformats.org/officeDocument/2006/relationships/hyperlink" Target="https://kalir.net/" TargetMode="External"/><Relationship Id="rId165" Type="http://schemas.openxmlformats.org/officeDocument/2006/relationships/hyperlink" Target="https://mapet.co.il/" TargetMode="External"/><Relationship Id="rId166" Type="http://schemas.openxmlformats.org/officeDocument/2006/relationships/hyperlink" Target="https://www.mapet.co.il/" TargetMode="External"/><Relationship Id="rId167" Type="http://schemas.openxmlformats.org/officeDocument/2006/relationships/hyperlink" Target="https://petsland.co.il/" TargetMode="External"/><Relationship Id="rId168" Type="http://schemas.openxmlformats.org/officeDocument/2006/relationships/hyperlink" Target="https://petsland.co.il/page1.asp" TargetMode="External"/><Relationship Id="rId169" Type="http://schemas.openxmlformats.org/officeDocument/2006/relationships/hyperlink" Target="https://vincentpet.co.il/" TargetMode="External"/><Relationship Id="rId170" Type="http://schemas.openxmlformats.org/officeDocument/2006/relationships/hyperlink" Target="https://www.vincentpet.co.il/" TargetMode="External"/><Relationship Id="rId171" Type="http://schemas.openxmlformats.org/officeDocument/2006/relationships/hyperlink" Target="https://contipet.co.il/" TargetMode="External"/><Relationship Id="rId172" Type="http://schemas.openxmlformats.org/officeDocument/2006/relationships/hyperlink" Target="https://www.contipet.co.il/" TargetMode="External"/><Relationship Id="rId173" Type="http://schemas.openxmlformats.org/officeDocument/2006/relationships/hyperlink" Target="https://pawly.co.il/" TargetMode="External"/><Relationship Id="rId174" Type="http://schemas.openxmlformats.org/officeDocument/2006/relationships/hyperlink" Target="https://www.pawly.co.il/products" TargetMode="External"/><Relationship Id="rId175" Type="http://schemas.openxmlformats.org/officeDocument/2006/relationships/hyperlink" Target="https://holypet.co.il/" TargetMode="External"/><Relationship Id="rId176" Type="http://schemas.openxmlformats.org/officeDocument/2006/relationships/hyperlink" Target="https://holypet.co.il/" TargetMode="External"/><Relationship Id="rId177" Type="http://schemas.openxmlformats.org/officeDocument/2006/relationships/hyperlink" Target="https://galnir.co.il/" TargetMode="External"/><Relationship Id="rId178" Type="http://schemas.openxmlformats.org/officeDocument/2006/relationships/hyperlink" Target="https://www.galnir.co.il/" TargetMode="External"/><Relationship Id="rId179" Type="http://schemas.openxmlformats.org/officeDocument/2006/relationships/hyperlink" Target="https://rdolifant.co.il/" TargetMode="External"/><Relationship Id="rId180" Type="http://schemas.openxmlformats.org/officeDocument/2006/relationships/hyperlink" Target="https://rdolifant.co.il/" TargetMode="External"/><Relationship Id="rId181" Type="http://schemas.openxmlformats.org/officeDocument/2006/relationships/hyperlink" Target="https://starprofessional.co.il/" TargetMode="External"/><Relationship Id="rId182" Type="http://schemas.openxmlformats.org/officeDocument/2006/relationships/hyperlink" Target="https://www.starprofessional.co.il/" TargetMode="External"/><Relationship Id="rId183" Type="http://schemas.openxmlformats.org/officeDocument/2006/relationships/hyperlink" Target="https://globalclean.co.il/" TargetMode="External"/><Relationship Id="rId184" Type="http://schemas.openxmlformats.org/officeDocument/2006/relationships/hyperlink" Target="https://globalclean.co.il/" TargetMode="External"/><Relationship Id="rId185" Type="http://schemas.openxmlformats.org/officeDocument/2006/relationships/hyperlink" Target="https://officeyashir.co.il/" TargetMode="External"/><Relationship Id="rId186" Type="http://schemas.openxmlformats.org/officeDocument/2006/relationships/hyperlink" Target="https://www.officeyashir.co.il/" TargetMode="External"/><Relationship Id="rId187" Type="http://schemas.openxmlformats.org/officeDocument/2006/relationships/hyperlink" Target="https://ml-create.co.il/" TargetMode="External"/><Relationship Id="rId188" Type="http://schemas.openxmlformats.org/officeDocument/2006/relationships/hyperlink" Target="https://www.ml-create.co.il/" TargetMode="External"/><Relationship Id="rId189" Type="http://schemas.openxmlformats.org/officeDocument/2006/relationships/hyperlink" Target="https://5com.co.il/" TargetMode="External"/><Relationship Id="rId190" Type="http://schemas.openxmlformats.org/officeDocument/2006/relationships/hyperlink" Target="https://5com.co.il/" TargetMode="External"/><Relationship Id="rId191" Type="http://schemas.openxmlformats.org/officeDocument/2006/relationships/hyperlink" Target="https://isratoys.co.il/" TargetMode="External"/><Relationship Id="rId192" Type="http://schemas.openxmlformats.org/officeDocument/2006/relationships/hyperlink" Target="https://www.isratoys.co.il/" TargetMode="External"/><Relationship Id="rId193" Type="http://schemas.openxmlformats.org/officeDocument/2006/relationships/hyperlink" Target="https://foxmind.co.il/" TargetMode="External"/><Relationship Id="rId194" Type="http://schemas.openxmlformats.org/officeDocument/2006/relationships/hyperlink" Target="https://www.foxmind.co.il/" TargetMode="External"/><Relationship Id="rId195" Type="http://schemas.openxmlformats.org/officeDocument/2006/relationships/hyperlink" Target="https://kodkod.co.il/" TargetMode="External"/><Relationship Id="rId196" Type="http://schemas.openxmlformats.org/officeDocument/2006/relationships/hyperlink" Target="https://www.kodkod.co.il/" TargetMode="External"/><Relationship Id="rId197" Type="http://schemas.openxmlformats.org/officeDocument/2006/relationships/hyperlink" Target="https://topplay-toys.co.il/" TargetMode="External"/><Relationship Id="rId198" Type="http://schemas.openxmlformats.org/officeDocument/2006/relationships/hyperlink" Target="https://topplay-toys.co.il/?lang=en" TargetMode="External"/><Relationship Id="rId19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30"/>
    <col collapsed="false" customWidth="true" hidden="false" outlineLevel="0" max="4" min="4" style="0" width="26"/>
    <col collapsed="false" customWidth="true" hidden="false" outlineLevel="0" max="5" min="5" style="0" width="48"/>
    <col collapsed="false" customWidth="true" hidden="false" outlineLevel="0" max="6" min="6" style="0" width="40"/>
    <col collapsed="false" customWidth="true" hidden="false" outlineLevel="0" max="7" min="7" style="0" width="16"/>
    <col collapsed="false" customWidth="true" hidden="false" outlineLevel="0" max="8" min="8" style="0" width="22"/>
    <col collapsed="false" customWidth="true" hidden="false" outlineLevel="0" max="9" min="9" style="0" width="26"/>
    <col collapsed="false" customWidth="true" hidden="false" outlineLevel="0" max="10" min="10" style="0" width="30"/>
    <col collapsed="false" customWidth="true" hidden="false" outlineLevel="0" max="11" min="11" style="0" width="16"/>
    <col collapsed="false" customWidth="true" hidden="false" outlineLevel="0" max="12" min="12" style="0" width="13"/>
    <col collapsed="false" customWidth="true" hidden="false" outlineLevel="0" max="13" min="13" style="0" width="30"/>
  </cols>
  <sheetData>
    <row r="1" customFormat="false" ht="17.9" hidden="false" customHeight="false" outlineLevel="0" collapsed="false">
      <c r="A1" s="1" t="s">
        <v>0</v>
      </c>
    </row>
    <row r="2" customFormat="false" ht="31.5" hidden="false" customHeight="true" outlineLevel="0" collapsed="false">
      <c r="A2" s="2" t="s">
        <v>1</v>
      </c>
      <c r="B2" s="2"/>
      <c r="C2" s="2"/>
      <c r="D2" s="2"/>
      <c r="E2" s="2"/>
      <c r="F2" s="2"/>
      <c r="G2" s="2"/>
      <c r="H2" s="2"/>
      <c r="I2" s="2"/>
      <c r="J2" s="2"/>
      <c r="K2" s="2"/>
      <c r="L2" s="2"/>
      <c r="M2" s="2"/>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row>
    <row r="5" customFormat="false" ht="23.85" hidden="false" customHeight="false" outlineLevel="0" collapsed="false">
      <c r="A5" s="4" t="n">
        <v>1</v>
      </c>
      <c r="B5" s="5" t="s">
        <v>15</v>
      </c>
      <c r="C5" s="4" t="s">
        <v>16</v>
      </c>
      <c r="D5" s="4" t="s">
        <v>17</v>
      </c>
      <c r="E5" s="4" t="s">
        <v>18</v>
      </c>
      <c r="F5" s="4" t="s">
        <v>19</v>
      </c>
      <c r="G5" s="4" t="s">
        <v>20</v>
      </c>
      <c r="H5" s="6" t="s">
        <v>21</v>
      </c>
      <c r="I5" s="4" t="s">
        <v>20</v>
      </c>
      <c r="J5" s="6" t="s">
        <v>22</v>
      </c>
      <c r="K5" s="4" t="s">
        <v>23</v>
      </c>
      <c r="L5" s="7"/>
      <c r="M5" s="4"/>
    </row>
    <row r="6" customFormat="false" ht="23.85" hidden="false" customHeight="false" outlineLevel="0" collapsed="false">
      <c r="A6" s="4" t="n">
        <v>2</v>
      </c>
      <c r="B6" s="5" t="s">
        <v>15</v>
      </c>
      <c r="C6" s="4" t="s">
        <v>24</v>
      </c>
      <c r="D6" s="4" t="s">
        <v>25</v>
      </c>
      <c r="E6" s="4" t="s">
        <v>26</v>
      </c>
      <c r="F6" s="4" t="s">
        <v>27</v>
      </c>
      <c r="G6" s="4" t="s">
        <v>28</v>
      </c>
      <c r="H6" s="6" t="s">
        <v>29</v>
      </c>
      <c r="I6" s="4" t="s">
        <v>20</v>
      </c>
      <c r="J6" s="6" t="s">
        <v>22</v>
      </c>
      <c r="K6" s="4" t="s">
        <v>23</v>
      </c>
      <c r="L6" s="7"/>
      <c r="M6" s="4"/>
    </row>
    <row r="7" customFormat="false" ht="23.85" hidden="false" customHeight="false" outlineLevel="0" collapsed="false">
      <c r="A7" s="4" t="n">
        <v>3</v>
      </c>
      <c r="B7" s="5" t="s">
        <v>15</v>
      </c>
      <c r="C7" s="4" t="s">
        <v>30</v>
      </c>
      <c r="D7" s="4" t="s">
        <v>31</v>
      </c>
      <c r="E7" s="4" t="s">
        <v>32</v>
      </c>
      <c r="F7" s="4" t="s">
        <v>33</v>
      </c>
      <c r="G7" s="4" t="s">
        <v>34</v>
      </c>
      <c r="H7" s="6" t="s">
        <v>35</v>
      </c>
      <c r="I7" s="4" t="s">
        <v>20</v>
      </c>
      <c r="J7" s="6" t="s">
        <v>22</v>
      </c>
      <c r="K7" s="4" t="s">
        <v>23</v>
      </c>
      <c r="L7" s="7"/>
      <c r="M7" s="4"/>
    </row>
    <row r="8" customFormat="false" ht="23.85" hidden="false" customHeight="false" outlineLevel="0" collapsed="false">
      <c r="A8" s="4" t="n">
        <v>4</v>
      </c>
      <c r="B8" s="5" t="s">
        <v>15</v>
      </c>
      <c r="C8" s="4" t="s">
        <v>36</v>
      </c>
      <c r="D8" s="4" t="s">
        <v>37</v>
      </c>
      <c r="E8" s="4" t="s">
        <v>38</v>
      </c>
      <c r="F8" s="4" t="s">
        <v>39</v>
      </c>
      <c r="G8" s="4" t="s">
        <v>40</v>
      </c>
      <c r="H8" s="6" t="s">
        <v>41</v>
      </c>
      <c r="I8" s="4" t="s">
        <v>42</v>
      </c>
      <c r="J8" s="6" t="s">
        <v>22</v>
      </c>
      <c r="K8" s="4" t="s">
        <v>23</v>
      </c>
      <c r="L8" s="7"/>
      <c r="M8" s="4"/>
    </row>
    <row r="9" customFormat="false" ht="23.85" hidden="false" customHeight="false" outlineLevel="0" collapsed="false">
      <c r="A9" s="4" t="n">
        <v>5</v>
      </c>
      <c r="B9" s="5" t="s">
        <v>15</v>
      </c>
      <c r="C9" s="4" t="s">
        <v>43</v>
      </c>
      <c r="D9" s="4" t="s">
        <v>44</v>
      </c>
      <c r="E9" s="4" t="s">
        <v>45</v>
      </c>
      <c r="F9" s="4" t="s">
        <v>46</v>
      </c>
      <c r="G9" s="4" t="s">
        <v>47</v>
      </c>
      <c r="H9" s="6" t="s">
        <v>48</v>
      </c>
      <c r="I9" s="4" t="s">
        <v>20</v>
      </c>
      <c r="J9" s="6" t="s">
        <v>22</v>
      </c>
      <c r="K9" s="4" t="s">
        <v>23</v>
      </c>
      <c r="L9" s="7"/>
      <c r="M9" s="4"/>
    </row>
    <row r="10" customFormat="false" ht="23.85" hidden="false" customHeight="false" outlineLevel="0" collapsed="false">
      <c r="A10" s="4" t="n">
        <v>6</v>
      </c>
      <c r="B10" s="5" t="s">
        <v>15</v>
      </c>
      <c r="C10" s="4" t="s">
        <v>49</v>
      </c>
      <c r="D10" s="4" t="s">
        <v>50</v>
      </c>
      <c r="E10" s="4" t="s">
        <v>51</v>
      </c>
      <c r="F10" s="4" t="s">
        <v>52</v>
      </c>
      <c r="G10" s="4" t="s">
        <v>53</v>
      </c>
      <c r="H10" s="6" t="s">
        <v>54</v>
      </c>
      <c r="I10" s="4" t="s">
        <v>55</v>
      </c>
      <c r="J10" s="6" t="s">
        <v>22</v>
      </c>
      <c r="K10" s="4" t="s">
        <v>23</v>
      </c>
      <c r="L10" s="7"/>
      <c r="M10" s="4"/>
    </row>
    <row r="11" customFormat="false" ht="23.85" hidden="false" customHeight="false" outlineLevel="0" collapsed="false">
      <c r="A11" s="4" t="n">
        <v>7</v>
      </c>
      <c r="B11" s="5" t="s">
        <v>15</v>
      </c>
      <c r="C11" s="4" t="s">
        <v>56</v>
      </c>
      <c r="D11" s="4" t="s">
        <v>57</v>
      </c>
      <c r="E11" s="4" t="s">
        <v>58</v>
      </c>
      <c r="F11" s="4" t="s">
        <v>59</v>
      </c>
      <c r="G11" s="4" t="s">
        <v>20</v>
      </c>
      <c r="H11" s="6" t="s">
        <v>60</v>
      </c>
      <c r="I11" s="4" t="s">
        <v>20</v>
      </c>
      <c r="J11" s="6" t="s">
        <v>22</v>
      </c>
      <c r="K11" s="4" t="s">
        <v>23</v>
      </c>
      <c r="L11" s="7"/>
      <c r="M11" s="4"/>
    </row>
    <row r="12" customFormat="false" ht="23.85" hidden="false" customHeight="false" outlineLevel="0" collapsed="false">
      <c r="A12" s="4" t="n">
        <v>8</v>
      </c>
      <c r="B12" s="5" t="s">
        <v>15</v>
      </c>
      <c r="C12" s="4" t="s">
        <v>61</v>
      </c>
      <c r="D12" s="4" t="s">
        <v>62</v>
      </c>
      <c r="E12" s="4" t="s">
        <v>63</v>
      </c>
      <c r="F12" s="4" t="s">
        <v>64</v>
      </c>
      <c r="G12" s="4" t="s">
        <v>65</v>
      </c>
      <c r="H12" s="6" t="s">
        <v>66</v>
      </c>
      <c r="I12" s="4" t="s">
        <v>67</v>
      </c>
      <c r="J12" s="6" t="s">
        <v>22</v>
      </c>
      <c r="K12" s="4" t="s">
        <v>23</v>
      </c>
      <c r="L12" s="7"/>
      <c r="M12" s="4"/>
    </row>
    <row r="13" customFormat="false" ht="23.85" hidden="false" customHeight="false" outlineLevel="0" collapsed="false">
      <c r="A13" s="4" t="n">
        <v>9</v>
      </c>
      <c r="B13" s="5" t="s">
        <v>15</v>
      </c>
      <c r="C13" s="4" t="s">
        <v>68</v>
      </c>
      <c r="D13" s="4" t="s">
        <v>69</v>
      </c>
      <c r="E13" s="4" t="s">
        <v>70</v>
      </c>
      <c r="F13" s="4" t="s">
        <v>71</v>
      </c>
      <c r="G13" s="4" t="s">
        <v>72</v>
      </c>
      <c r="H13" s="6" t="s">
        <v>73</v>
      </c>
      <c r="I13" s="4" t="s">
        <v>74</v>
      </c>
      <c r="J13" s="6" t="s">
        <v>22</v>
      </c>
      <c r="K13" s="4" t="s">
        <v>23</v>
      </c>
      <c r="L13" s="7"/>
      <c r="M13" s="4"/>
    </row>
    <row r="14" customFormat="false" ht="15" hidden="false" customHeight="false" outlineLevel="0" collapsed="false">
      <c r="A14" s="4" t="n">
        <v>10</v>
      </c>
      <c r="B14" s="5" t="s">
        <v>15</v>
      </c>
      <c r="C14" s="4" t="s">
        <v>75</v>
      </c>
      <c r="D14" s="4" t="s">
        <v>76</v>
      </c>
      <c r="E14" s="4" t="s">
        <v>77</v>
      </c>
      <c r="F14" s="4" t="s">
        <v>78</v>
      </c>
      <c r="G14" s="4" t="s">
        <v>79</v>
      </c>
      <c r="H14" s="6" t="s">
        <v>80</v>
      </c>
      <c r="I14" s="4" t="s">
        <v>81</v>
      </c>
      <c r="J14" s="6" t="s">
        <v>22</v>
      </c>
      <c r="K14" s="4" t="s">
        <v>23</v>
      </c>
      <c r="L14" s="7"/>
      <c r="M14" s="4"/>
    </row>
    <row r="15" customFormat="false" ht="23.85" hidden="false" customHeight="false" outlineLevel="0" collapsed="false">
      <c r="A15" s="4" t="n">
        <v>11</v>
      </c>
      <c r="B15" s="5" t="s">
        <v>15</v>
      </c>
      <c r="C15" s="4" t="s">
        <v>82</v>
      </c>
      <c r="D15" s="4" t="s">
        <v>83</v>
      </c>
      <c r="E15" s="4" t="s">
        <v>84</v>
      </c>
      <c r="F15" s="4" t="s">
        <v>85</v>
      </c>
      <c r="G15" s="4" t="s">
        <v>86</v>
      </c>
      <c r="H15" s="6" t="s">
        <v>87</v>
      </c>
      <c r="I15" s="4" t="s">
        <v>88</v>
      </c>
      <c r="J15" s="6" t="s">
        <v>22</v>
      </c>
      <c r="K15" s="4" t="s">
        <v>23</v>
      </c>
      <c r="L15" s="7"/>
      <c r="M15" s="4"/>
    </row>
    <row r="16" customFormat="false" ht="23.85" hidden="false" customHeight="false" outlineLevel="0" collapsed="false">
      <c r="A16" s="4" t="n">
        <v>12</v>
      </c>
      <c r="B16" s="5" t="s">
        <v>15</v>
      </c>
      <c r="C16" s="4" t="s">
        <v>89</v>
      </c>
      <c r="D16" s="4" t="s">
        <v>90</v>
      </c>
      <c r="E16" s="4" t="s">
        <v>91</v>
      </c>
      <c r="F16" s="4" t="s">
        <v>92</v>
      </c>
      <c r="G16" s="4" t="s">
        <v>93</v>
      </c>
      <c r="H16" s="6" t="s">
        <v>94</v>
      </c>
      <c r="I16" s="4" t="s">
        <v>95</v>
      </c>
      <c r="J16" s="6" t="s">
        <v>22</v>
      </c>
      <c r="K16" s="4" t="s">
        <v>23</v>
      </c>
      <c r="L16" s="7"/>
      <c r="M16" s="4"/>
    </row>
    <row r="17" customFormat="false" ht="23.85" hidden="false" customHeight="false" outlineLevel="0" collapsed="false">
      <c r="A17" s="4" t="n">
        <v>13</v>
      </c>
      <c r="B17" s="5" t="s">
        <v>15</v>
      </c>
      <c r="C17" s="4" t="s">
        <v>96</v>
      </c>
      <c r="D17" s="4" t="s">
        <v>97</v>
      </c>
      <c r="E17" s="4" t="s">
        <v>98</v>
      </c>
      <c r="F17" s="4" t="s">
        <v>99</v>
      </c>
      <c r="G17" s="4" t="s">
        <v>100</v>
      </c>
      <c r="H17" s="6" t="s">
        <v>101</v>
      </c>
      <c r="I17" s="4" t="s">
        <v>102</v>
      </c>
      <c r="J17" s="6" t="s">
        <v>22</v>
      </c>
      <c r="K17" s="4" t="s">
        <v>23</v>
      </c>
      <c r="L17" s="7"/>
      <c r="M17" s="4"/>
    </row>
    <row r="18" customFormat="false" ht="23.85" hidden="false" customHeight="false" outlineLevel="0" collapsed="false">
      <c r="A18" s="4" t="n">
        <v>14</v>
      </c>
      <c r="B18" s="5" t="s">
        <v>15</v>
      </c>
      <c r="C18" s="4" t="s">
        <v>103</v>
      </c>
      <c r="D18" s="4" t="s">
        <v>104</v>
      </c>
      <c r="E18" s="4" t="s">
        <v>105</v>
      </c>
      <c r="F18" s="4" t="s">
        <v>106</v>
      </c>
      <c r="G18" s="4" t="s">
        <v>20</v>
      </c>
      <c r="H18" s="6" t="s">
        <v>107</v>
      </c>
      <c r="I18" s="4" t="s">
        <v>20</v>
      </c>
      <c r="J18" s="6" t="s">
        <v>22</v>
      </c>
      <c r="K18" s="4" t="s">
        <v>23</v>
      </c>
      <c r="L18" s="7"/>
      <c r="M18" s="4"/>
    </row>
    <row r="19" customFormat="false" ht="23.85" hidden="false" customHeight="false" outlineLevel="0" collapsed="false">
      <c r="A19" s="4" t="n">
        <v>15</v>
      </c>
      <c r="B19" s="5" t="s">
        <v>15</v>
      </c>
      <c r="C19" s="4" t="s">
        <v>108</v>
      </c>
      <c r="D19" s="4" t="s">
        <v>109</v>
      </c>
      <c r="E19" s="4" t="s">
        <v>110</v>
      </c>
      <c r="F19" s="4" t="s">
        <v>111</v>
      </c>
      <c r="G19" s="4" t="s">
        <v>112</v>
      </c>
      <c r="H19" s="6" t="s">
        <v>113</v>
      </c>
      <c r="I19" s="4" t="s">
        <v>114</v>
      </c>
      <c r="J19" s="6" t="s">
        <v>22</v>
      </c>
      <c r="K19" s="4" t="s">
        <v>23</v>
      </c>
      <c r="L19" s="7"/>
      <c r="M19" s="4"/>
    </row>
    <row r="20" customFormat="false" ht="23.85" hidden="false" customHeight="false" outlineLevel="0" collapsed="false">
      <c r="A20" s="4" t="n">
        <v>16</v>
      </c>
      <c r="B20" s="5" t="s">
        <v>15</v>
      </c>
      <c r="C20" s="4" t="s">
        <v>115</v>
      </c>
      <c r="D20" s="4" t="s">
        <v>116</v>
      </c>
      <c r="E20" s="4" t="s">
        <v>117</v>
      </c>
      <c r="F20" s="4" t="s">
        <v>118</v>
      </c>
      <c r="G20" s="4" t="s">
        <v>53</v>
      </c>
      <c r="H20" s="6" t="s">
        <v>119</v>
      </c>
      <c r="I20" s="4" t="s">
        <v>20</v>
      </c>
      <c r="J20" s="6" t="s">
        <v>22</v>
      </c>
      <c r="K20" s="4" t="s">
        <v>23</v>
      </c>
      <c r="L20" s="7"/>
      <c r="M20" s="4"/>
    </row>
    <row r="21" customFormat="false" ht="23.85" hidden="false" customHeight="false" outlineLevel="0" collapsed="false">
      <c r="A21" s="4" t="n">
        <v>17</v>
      </c>
      <c r="B21" s="5" t="s">
        <v>15</v>
      </c>
      <c r="C21" s="4" t="s">
        <v>120</v>
      </c>
      <c r="D21" s="4" t="s">
        <v>121</v>
      </c>
      <c r="E21" s="4" t="s">
        <v>122</v>
      </c>
      <c r="F21" s="4" t="s">
        <v>123</v>
      </c>
      <c r="G21" s="4" t="s">
        <v>124</v>
      </c>
      <c r="H21" s="4" t="s">
        <v>20</v>
      </c>
      <c r="I21" s="4" t="s">
        <v>20</v>
      </c>
      <c r="J21" s="6" t="s">
        <v>22</v>
      </c>
      <c r="K21" s="4" t="s">
        <v>23</v>
      </c>
      <c r="L21" s="7"/>
      <c r="M21" s="4"/>
    </row>
    <row r="22" customFormat="false" ht="23.85" hidden="false" customHeight="false" outlineLevel="0" collapsed="false">
      <c r="A22" s="4" t="n">
        <v>18</v>
      </c>
      <c r="B22" s="5" t="s">
        <v>15</v>
      </c>
      <c r="C22" s="4" t="s">
        <v>125</v>
      </c>
      <c r="D22" s="4" t="s">
        <v>126</v>
      </c>
      <c r="E22" s="4" t="s">
        <v>127</v>
      </c>
      <c r="F22" s="4" t="s">
        <v>128</v>
      </c>
      <c r="G22" s="4" t="s">
        <v>129</v>
      </c>
      <c r="H22" s="6" t="s">
        <v>130</v>
      </c>
      <c r="I22" s="4" t="s">
        <v>20</v>
      </c>
      <c r="J22" s="6" t="s">
        <v>22</v>
      </c>
      <c r="K22" s="4" t="s">
        <v>23</v>
      </c>
      <c r="L22" s="7"/>
      <c r="M22" s="4"/>
    </row>
    <row r="23" customFormat="false" ht="23.85" hidden="false" customHeight="false" outlineLevel="0" collapsed="false">
      <c r="A23" s="4" t="n">
        <v>19</v>
      </c>
      <c r="B23" s="5" t="s">
        <v>15</v>
      </c>
      <c r="C23" s="4" t="s">
        <v>131</v>
      </c>
      <c r="D23" s="4" t="s">
        <v>132</v>
      </c>
      <c r="E23" s="4" t="s">
        <v>133</v>
      </c>
      <c r="F23" s="4" t="s">
        <v>134</v>
      </c>
      <c r="G23" s="4" t="s">
        <v>20</v>
      </c>
      <c r="H23" s="6" t="s">
        <v>135</v>
      </c>
      <c r="I23" s="4" t="s">
        <v>20</v>
      </c>
      <c r="J23" s="6" t="s">
        <v>22</v>
      </c>
      <c r="K23" s="4" t="s">
        <v>23</v>
      </c>
      <c r="L23" s="7"/>
      <c r="M23" s="4"/>
    </row>
    <row r="24" customFormat="false" ht="23.85" hidden="false" customHeight="false" outlineLevel="0" collapsed="false">
      <c r="A24" s="4" t="n">
        <v>20</v>
      </c>
      <c r="B24" s="5" t="s">
        <v>15</v>
      </c>
      <c r="C24" s="4" t="s">
        <v>136</v>
      </c>
      <c r="D24" s="4" t="s">
        <v>137</v>
      </c>
      <c r="E24" s="4" t="s">
        <v>138</v>
      </c>
      <c r="F24" s="4" t="s">
        <v>139</v>
      </c>
      <c r="G24" s="4" t="s">
        <v>20</v>
      </c>
      <c r="H24" s="6" t="s">
        <v>140</v>
      </c>
      <c r="I24" s="4" t="s">
        <v>20</v>
      </c>
      <c r="J24" s="6" t="s">
        <v>22</v>
      </c>
      <c r="K24" s="4" t="s">
        <v>23</v>
      </c>
      <c r="L24" s="7"/>
      <c r="M24" s="4"/>
    </row>
    <row r="25" customFormat="false" ht="23.85" hidden="false" customHeight="false" outlineLevel="0" collapsed="false">
      <c r="A25" s="4" t="n">
        <v>21</v>
      </c>
      <c r="B25" s="5" t="s">
        <v>15</v>
      </c>
      <c r="C25" s="4" t="s">
        <v>141</v>
      </c>
      <c r="D25" s="4" t="s">
        <v>142</v>
      </c>
      <c r="E25" s="4" t="s">
        <v>143</v>
      </c>
      <c r="F25" s="4" t="s">
        <v>144</v>
      </c>
      <c r="G25" s="4" t="s">
        <v>20</v>
      </c>
      <c r="H25" s="4" t="s">
        <v>20</v>
      </c>
      <c r="I25" s="4" t="s">
        <v>20</v>
      </c>
      <c r="J25" s="6" t="s">
        <v>22</v>
      </c>
      <c r="K25" s="4" t="s">
        <v>23</v>
      </c>
      <c r="L25" s="7"/>
      <c r="M25" s="4"/>
    </row>
    <row r="26" customFormat="false" ht="23.85" hidden="false" customHeight="false" outlineLevel="0" collapsed="false">
      <c r="A26" s="4" t="n">
        <v>22</v>
      </c>
      <c r="B26" s="5" t="s">
        <v>15</v>
      </c>
      <c r="C26" s="4" t="s">
        <v>145</v>
      </c>
      <c r="D26" s="4" t="s">
        <v>146</v>
      </c>
      <c r="E26" s="4" t="s">
        <v>147</v>
      </c>
      <c r="F26" s="4" t="s">
        <v>148</v>
      </c>
      <c r="G26" s="4" t="s">
        <v>53</v>
      </c>
      <c r="H26" s="6" t="s">
        <v>149</v>
      </c>
      <c r="I26" s="4" t="s">
        <v>20</v>
      </c>
      <c r="J26" s="6" t="s">
        <v>22</v>
      </c>
      <c r="K26" s="4" t="s">
        <v>23</v>
      </c>
      <c r="L26" s="7"/>
      <c r="M26" s="4"/>
    </row>
    <row r="27" customFormat="false" ht="15" hidden="false" customHeight="false" outlineLevel="0" collapsed="false">
      <c r="A27" s="4" t="n">
        <v>23</v>
      </c>
      <c r="B27" s="5" t="s">
        <v>15</v>
      </c>
      <c r="C27" s="4" t="s">
        <v>150</v>
      </c>
      <c r="D27" s="4" t="s">
        <v>151</v>
      </c>
      <c r="E27" s="4" t="s">
        <v>152</v>
      </c>
      <c r="F27" s="4" t="s">
        <v>153</v>
      </c>
      <c r="G27" s="4" t="s">
        <v>154</v>
      </c>
      <c r="H27" s="6" t="s">
        <v>155</v>
      </c>
      <c r="I27" s="4" t="s">
        <v>20</v>
      </c>
      <c r="J27" s="6" t="s">
        <v>22</v>
      </c>
      <c r="K27" s="4" t="s">
        <v>23</v>
      </c>
      <c r="L27" s="7"/>
      <c r="M27" s="4"/>
    </row>
    <row r="28" customFormat="false" ht="23.85" hidden="false" customHeight="false" outlineLevel="0" collapsed="false">
      <c r="A28" s="4" t="n">
        <v>24</v>
      </c>
      <c r="B28" s="5" t="s">
        <v>15</v>
      </c>
      <c r="C28" s="4" t="s">
        <v>156</v>
      </c>
      <c r="D28" s="4" t="s">
        <v>157</v>
      </c>
      <c r="E28" s="4" t="s">
        <v>158</v>
      </c>
      <c r="F28" s="4" t="s">
        <v>159</v>
      </c>
      <c r="G28" s="4" t="s">
        <v>160</v>
      </c>
      <c r="H28" s="6" t="s">
        <v>161</v>
      </c>
      <c r="I28" s="4" t="s">
        <v>20</v>
      </c>
      <c r="J28" s="6" t="s">
        <v>22</v>
      </c>
      <c r="K28" s="4" t="s">
        <v>23</v>
      </c>
      <c r="L28" s="7"/>
      <c r="M28" s="4"/>
    </row>
    <row r="29" customFormat="false" ht="35.05" hidden="false" customHeight="false" outlineLevel="0" collapsed="false">
      <c r="A29" s="4" t="n">
        <v>25</v>
      </c>
      <c r="B29" s="8" t="s">
        <v>162</v>
      </c>
      <c r="C29" s="4" t="s">
        <v>163</v>
      </c>
      <c r="D29" s="4" t="s">
        <v>164</v>
      </c>
      <c r="E29" s="4" t="s">
        <v>165</v>
      </c>
      <c r="F29" s="4" t="s">
        <v>166</v>
      </c>
      <c r="G29" s="4" t="s">
        <v>167</v>
      </c>
      <c r="H29" s="6" t="s">
        <v>168</v>
      </c>
      <c r="I29" s="4" t="s">
        <v>169</v>
      </c>
      <c r="J29" s="6" t="s">
        <v>22</v>
      </c>
      <c r="K29" s="4" t="s">
        <v>23</v>
      </c>
      <c r="L29" s="7"/>
      <c r="M29" s="4"/>
    </row>
    <row r="30" customFormat="false" ht="23.85" hidden="false" customHeight="false" outlineLevel="0" collapsed="false">
      <c r="A30" s="4" t="n">
        <v>26</v>
      </c>
      <c r="B30" s="8" t="s">
        <v>162</v>
      </c>
      <c r="C30" s="4" t="s">
        <v>170</v>
      </c>
      <c r="D30" s="4" t="s">
        <v>171</v>
      </c>
      <c r="E30" s="4" t="s">
        <v>172</v>
      </c>
      <c r="F30" s="4" t="s">
        <v>173</v>
      </c>
      <c r="G30" s="4" t="s">
        <v>53</v>
      </c>
      <c r="H30" s="6" t="s">
        <v>174</v>
      </c>
      <c r="I30" s="4" t="s">
        <v>175</v>
      </c>
      <c r="J30" s="6" t="s">
        <v>22</v>
      </c>
      <c r="K30" s="4" t="s">
        <v>23</v>
      </c>
      <c r="L30" s="7"/>
      <c r="M30" s="4"/>
    </row>
    <row r="31" customFormat="false" ht="23.85" hidden="false" customHeight="false" outlineLevel="0" collapsed="false">
      <c r="A31" s="4" t="n">
        <v>27</v>
      </c>
      <c r="B31" s="8" t="s">
        <v>162</v>
      </c>
      <c r="C31" s="4" t="s">
        <v>176</v>
      </c>
      <c r="D31" s="4" t="s">
        <v>177</v>
      </c>
      <c r="E31" s="4" t="s">
        <v>178</v>
      </c>
      <c r="F31" s="4" t="s">
        <v>179</v>
      </c>
      <c r="G31" s="4" t="s">
        <v>180</v>
      </c>
      <c r="H31" s="6" t="s">
        <v>181</v>
      </c>
      <c r="I31" s="4" t="s">
        <v>182</v>
      </c>
      <c r="J31" s="6" t="s">
        <v>22</v>
      </c>
      <c r="K31" s="4" t="s">
        <v>23</v>
      </c>
      <c r="L31" s="7"/>
      <c r="M31" s="4"/>
    </row>
    <row r="32" customFormat="false" ht="23.85" hidden="false" customHeight="false" outlineLevel="0" collapsed="false">
      <c r="A32" s="4" t="n">
        <v>28</v>
      </c>
      <c r="B32" s="8" t="s">
        <v>162</v>
      </c>
      <c r="C32" s="4" t="s">
        <v>183</v>
      </c>
      <c r="D32" s="4" t="s">
        <v>184</v>
      </c>
      <c r="E32" s="4" t="s">
        <v>185</v>
      </c>
      <c r="F32" s="4" t="s">
        <v>186</v>
      </c>
      <c r="G32" s="4" t="s">
        <v>187</v>
      </c>
      <c r="H32" s="6" t="s">
        <v>188</v>
      </c>
      <c r="I32" s="4" t="s">
        <v>189</v>
      </c>
      <c r="J32" s="6" t="s">
        <v>22</v>
      </c>
      <c r="K32" s="4" t="s">
        <v>23</v>
      </c>
      <c r="L32" s="7"/>
      <c r="M32" s="4"/>
    </row>
    <row r="33" customFormat="false" ht="15" hidden="false" customHeight="false" outlineLevel="0" collapsed="false">
      <c r="A33" s="4" t="n">
        <v>29</v>
      </c>
      <c r="B33" s="8" t="s">
        <v>162</v>
      </c>
      <c r="C33" s="4" t="s">
        <v>190</v>
      </c>
      <c r="D33" s="4" t="s">
        <v>191</v>
      </c>
      <c r="E33" s="4" t="s">
        <v>192</v>
      </c>
      <c r="F33" s="4" t="s">
        <v>193</v>
      </c>
      <c r="G33" s="4" t="s">
        <v>79</v>
      </c>
      <c r="H33" s="6" t="s">
        <v>194</v>
      </c>
      <c r="I33" s="4" t="s">
        <v>195</v>
      </c>
      <c r="J33" s="6" t="s">
        <v>22</v>
      </c>
      <c r="K33" s="4" t="s">
        <v>23</v>
      </c>
      <c r="L33" s="7"/>
      <c r="M33" s="4"/>
    </row>
    <row r="34" customFormat="false" ht="23.85" hidden="false" customHeight="false" outlineLevel="0" collapsed="false">
      <c r="A34" s="4" t="n">
        <v>30</v>
      </c>
      <c r="B34" s="8" t="s">
        <v>162</v>
      </c>
      <c r="C34" s="4" t="s">
        <v>196</v>
      </c>
      <c r="D34" s="4" t="s">
        <v>197</v>
      </c>
      <c r="E34" s="4" t="s">
        <v>198</v>
      </c>
      <c r="F34" s="4" t="s">
        <v>199</v>
      </c>
      <c r="G34" s="4" t="s">
        <v>200</v>
      </c>
      <c r="H34" s="6" t="s">
        <v>201</v>
      </c>
      <c r="I34" s="4" t="s">
        <v>202</v>
      </c>
      <c r="J34" s="6" t="s">
        <v>22</v>
      </c>
      <c r="K34" s="4" t="s">
        <v>23</v>
      </c>
      <c r="L34" s="7"/>
      <c r="M34" s="4"/>
    </row>
    <row r="35" customFormat="false" ht="15" hidden="false" customHeight="false" outlineLevel="0" collapsed="false">
      <c r="A35" s="4" t="n">
        <v>31</v>
      </c>
      <c r="B35" s="8" t="s">
        <v>162</v>
      </c>
      <c r="C35" s="4" t="s">
        <v>203</v>
      </c>
      <c r="D35" s="4" t="s">
        <v>204</v>
      </c>
      <c r="E35" s="4" t="s">
        <v>205</v>
      </c>
      <c r="F35" s="4" t="s">
        <v>206</v>
      </c>
      <c r="G35" s="4" t="s">
        <v>20</v>
      </c>
      <c r="H35" s="6" t="s">
        <v>207</v>
      </c>
      <c r="I35" s="4" t="s">
        <v>20</v>
      </c>
      <c r="J35" s="6" t="s">
        <v>22</v>
      </c>
      <c r="K35" s="4" t="s">
        <v>23</v>
      </c>
      <c r="L35" s="7"/>
      <c r="M35" s="4"/>
    </row>
    <row r="36" customFormat="false" ht="15" hidden="false" customHeight="false" outlineLevel="0" collapsed="false">
      <c r="A36" s="4" t="n">
        <v>32</v>
      </c>
      <c r="B36" s="8" t="s">
        <v>162</v>
      </c>
      <c r="C36" s="4" t="s">
        <v>208</v>
      </c>
      <c r="D36" s="4" t="s">
        <v>209</v>
      </c>
      <c r="E36" s="4" t="s">
        <v>210</v>
      </c>
      <c r="F36" s="4" t="s">
        <v>211</v>
      </c>
      <c r="G36" s="4" t="s">
        <v>72</v>
      </c>
      <c r="H36" s="6" t="s">
        <v>212</v>
      </c>
      <c r="I36" s="4" t="s">
        <v>213</v>
      </c>
      <c r="J36" s="6" t="s">
        <v>22</v>
      </c>
      <c r="K36" s="4" t="s">
        <v>23</v>
      </c>
      <c r="L36" s="7"/>
      <c r="M36" s="4"/>
    </row>
    <row r="37" customFormat="false" ht="23.85" hidden="false" customHeight="false" outlineLevel="0" collapsed="false">
      <c r="A37" s="4" t="n">
        <v>33</v>
      </c>
      <c r="B37" s="8" t="s">
        <v>162</v>
      </c>
      <c r="C37" s="4" t="s">
        <v>214</v>
      </c>
      <c r="D37" s="4" t="s">
        <v>215</v>
      </c>
      <c r="E37" s="4" t="s">
        <v>216</v>
      </c>
      <c r="F37" s="4" t="s">
        <v>217</v>
      </c>
      <c r="G37" s="4" t="s">
        <v>218</v>
      </c>
      <c r="H37" s="6" t="s">
        <v>219</v>
      </c>
      <c r="I37" s="4" t="s">
        <v>220</v>
      </c>
      <c r="J37" s="6" t="s">
        <v>22</v>
      </c>
      <c r="K37" s="4" t="s">
        <v>23</v>
      </c>
      <c r="L37" s="7"/>
      <c r="M37" s="4"/>
    </row>
    <row r="38" customFormat="false" ht="23.85" hidden="false" customHeight="false" outlineLevel="0" collapsed="false">
      <c r="A38" s="4" t="n">
        <v>34</v>
      </c>
      <c r="B38" s="8" t="s">
        <v>162</v>
      </c>
      <c r="C38" s="4" t="s">
        <v>221</v>
      </c>
      <c r="D38" s="4" t="s">
        <v>222</v>
      </c>
      <c r="E38" s="4" t="s">
        <v>223</v>
      </c>
      <c r="F38" s="4" t="s">
        <v>224</v>
      </c>
      <c r="G38" s="4" t="s">
        <v>225</v>
      </c>
      <c r="H38" s="6" t="s">
        <v>226</v>
      </c>
      <c r="I38" s="4" t="s">
        <v>227</v>
      </c>
      <c r="J38" s="6" t="s">
        <v>22</v>
      </c>
      <c r="K38" s="4" t="s">
        <v>23</v>
      </c>
      <c r="L38" s="7"/>
      <c r="M38" s="4"/>
    </row>
    <row r="39" customFormat="false" ht="15" hidden="false" customHeight="false" outlineLevel="0" collapsed="false">
      <c r="A39" s="4" t="n">
        <v>35</v>
      </c>
      <c r="B39" s="8" t="s">
        <v>162</v>
      </c>
      <c r="C39" s="4" t="s">
        <v>228</v>
      </c>
      <c r="D39" s="4" t="s">
        <v>229</v>
      </c>
      <c r="E39" s="4" t="s">
        <v>230</v>
      </c>
      <c r="F39" s="4" t="s">
        <v>231</v>
      </c>
      <c r="G39" s="4" t="s">
        <v>218</v>
      </c>
      <c r="H39" s="6" t="s">
        <v>232</v>
      </c>
      <c r="I39" s="4" t="s">
        <v>233</v>
      </c>
      <c r="J39" s="6" t="s">
        <v>22</v>
      </c>
      <c r="K39" s="4" t="s">
        <v>23</v>
      </c>
      <c r="L39" s="7"/>
      <c r="M39" s="4"/>
    </row>
    <row r="40" customFormat="false" ht="15" hidden="false" customHeight="false" outlineLevel="0" collapsed="false">
      <c r="A40" s="4" t="n">
        <v>36</v>
      </c>
      <c r="B40" s="8" t="s">
        <v>162</v>
      </c>
      <c r="C40" s="4" t="s">
        <v>234</v>
      </c>
      <c r="D40" s="4" t="s">
        <v>171</v>
      </c>
      <c r="E40" s="4" t="s">
        <v>235</v>
      </c>
      <c r="F40" s="4" t="s">
        <v>236</v>
      </c>
      <c r="G40" s="4" t="s">
        <v>20</v>
      </c>
      <c r="H40" s="6" t="s">
        <v>237</v>
      </c>
      <c r="I40" s="4" t="s">
        <v>20</v>
      </c>
      <c r="J40" s="6" t="s">
        <v>22</v>
      </c>
      <c r="K40" s="4" t="s">
        <v>23</v>
      </c>
      <c r="L40" s="7"/>
      <c r="M40" s="4"/>
    </row>
    <row r="41" customFormat="false" ht="23.85" hidden="false" customHeight="false" outlineLevel="0" collapsed="false">
      <c r="A41" s="4" t="n">
        <v>37</v>
      </c>
      <c r="B41" s="8" t="s">
        <v>162</v>
      </c>
      <c r="C41" s="4" t="s">
        <v>238</v>
      </c>
      <c r="D41" s="4" t="s">
        <v>239</v>
      </c>
      <c r="E41" s="4" t="s">
        <v>240</v>
      </c>
      <c r="F41" s="4" t="s">
        <v>241</v>
      </c>
      <c r="G41" s="4" t="s">
        <v>242</v>
      </c>
      <c r="H41" s="6" t="s">
        <v>243</v>
      </c>
      <c r="I41" s="4" t="s">
        <v>244</v>
      </c>
      <c r="J41" s="6" t="s">
        <v>22</v>
      </c>
      <c r="K41" s="4" t="s">
        <v>23</v>
      </c>
      <c r="L41" s="7"/>
      <c r="M41" s="4"/>
    </row>
    <row r="42" customFormat="false" ht="23.85" hidden="false" customHeight="false" outlineLevel="0" collapsed="false">
      <c r="A42" s="4" t="n">
        <v>38</v>
      </c>
      <c r="B42" s="8" t="s">
        <v>162</v>
      </c>
      <c r="C42" s="4" t="s">
        <v>245</v>
      </c>
      <c r="D42" s="4" t="s">
        <v>246</v>
      </c>
      <c r="E42" s="4" t="s">
        <v>247</v>
      </c>
      <c r="F42" s="4" t="s">
        <v>248</v>
      </c>
      <c r="G42" s="4" t="s">
        <v>249</v>
      </c>
      <c r="H42" s="6" t="s">
        <v>250</v>
      </c>
      <c r="I42" s="4" t="s">
        <v>251</v>
      </c>
      <c r="J42" s="6" t="s">
        <v>22</v>
      </c>
      <c r="K42" s="4" t="s">
        <v>23</v>
      </c>
      <c r="L42" s="7"/>
      <c r="M42" s="4"/>
    </row>
    <row r="43" customFormat="false" ht="23.85" hidden="false" customHeight="false" outlineLevel="0" collapsed="false">
      <c r="A43" s="4" t="n">
        <v>39</v>
      </c>
      <c r="B43" s="8" t="s">
        <v>162</v>
      </c>
      <c r="C43" s="4" t="s">
        <v>252</v>
      </c>
      <c r="D43" s="4" t="s">
        <v>253</v>
      </c>
      <c r="E43" s="4" t="s">
        <v>254</v>
      </c>
      <c r="F43" s="4" t="s">
        <v>255</v>
      </c>
      <c r="G43" s="4" t="s">
        <v>256</v>
      </c>
      <c r="H43" s="6" t="s">
        <v>257</v>
      </c>
      <c r="I43" s="4" t="s">
        <v>258</v>
      </c>
      <c r="J43" s="6" t="s">
        <v>22</v>
      </c>
      <c r="K43" s="4" t="s">
        <v>23</v>
      </c>
      <c r="L43" s="7"/>
      <c r="M43" s="4"/>
    </row>
    <row r="44" customFormat="false" ht="23.85" hidden="false" customHeight="false" outlineLevel="0" collapsed="false">
      <c r="A44" s="4" t="n">
        <v>40</v>
      </c>
      <c r="B44" s="8" t="s">
        <v>162</v>
      </c>
      <c r="C44" s="4" t="s">
        <v>259</v>
      </c>
      <c r="D44" s="4" t="s">
        <v>260</v>
      </c>
      <c r="E44" s="4" t="s">
        <v>261</v>
      </c>
      <c r="F44" s="4" t="s">
        <v>262</v>
      </c>
      <c r="G44" s="4" t="s">
        <v>263</v>
      </c>
      <c r="H44" s="6" t="s">
        <v>264</v>
      </c>
      <c r="I44" s="4" t="s">
        <v>265</v>
      </c>
      <c r="J44" s="6" t="s">
        <v>22</v>
      </c>
      <c r="K44" s="4" t="s">
        <v>23</v>
      </c>
      <c r="L44" s="7"/>
      <c r="M44" s="4"/>
    </row>
    <row r="45" customFormat="false" ht="23.85" hidden="false" customHeight="false" outlineLevel="0" collapsed="false">
      <c r="A45" s="4" t="n">
        <v>41</v>
      </c>
      <c r="B45" s="8" t="s">
        <v>162</v>
      </c>
      <c r="C45" s="4" t="s">
        <v>266</v>
      </c>
      <c r="D45" s="4" t="s">
        <v>267</v>
      </c>
      <c r="E45" s="4" t="s">
        <v>268</v>
      </c>
      <c r="F45" s="4" t="s">
        <v>269</v>
      </c>
      <c r="G45" s="4" t="s">
        <v>72</v>
      </c>
      <c r="H45" s="6" t="s">
        <v>270</v>
      </c>
      <c r="I45" s="4" t="s">
        <v>271</v>
      </c>
      <c r="J45" s="6" t="s">
        <v>22</v>
      </c>
      <c r="K45" s="4" t="s">
        <v>23</v>
      </c>
      <c r="L45" s="7"/>
      <c r="M45" s="4"/>
    </row>
    <row r="46" customFormat="false" ht="15" hidden="false" customHeight="false" outlineLevel="0" collapsed="false">
      <c r="A46" s="4" t="n">
        <v>42</v>
      </c>
      <c r="B46" s="8" t="s">
        <v>162</v>
      </c>
      <c r="C46" s="4" t="s">
        <v>272</v>
      </c>
      <c r="D46" s="4" t="s">
        <v>273</v>
      </c>
      <c r="E46" s="4" t="s">
        <v>274</v>
      </c>
      <c r="F46" s="4" t="s">
        <v>275</v>
      </c>
      <c r="G46" s="4" t="s">
        <v>242</v>
      </c>
      <c r="H46" s="6" t="s">
        <v>276</v>
      </c>
      <c r="I46" s="4" t="s">
        <v>277</v>
      </c>
      <c r="J46" s="6" t="s">
        <v>22</v>
      </c>
      <c r="K46" s="4" t="s">
        <v>23</v>
      </c>
      <c r="L46" s="7"/>
      <c r="M46" s="4"/>
    </row>
    <row r="47" customFormat="false" ht="23.85" hidden="false" customHeight="false" outlineLevel="0" collapsed="false">
      <c r="A47" s="4" t="n">
        <v>43</v>
      </c>
      <c r="B47" s="8" t="s">
        <v>162</v>
      </c>
      <c r="C47" s="4" t="s">
        <v>278</v>
      </c>
      <c r="D47" s="4" t="s">
        <v>279</v>
      </c>
      <c r="E47" s="4" t="s">
        <v>280</v>
      </c>
      <c r="F47" s="4" t="s">
        <v>281</v>
      </c>
      <c r="G47" s="4" t="s">
        <v>160</v>
      </c>
      <c r="H47" s="6" t="s">
        <v>282</v>
      </c>
      <c r="I47" s="4" t="s">
        <v>283</v>
      </c>
      <c r="J47" s="6" t="s">
        <v>22</v>
      </c>
      <c r="K47" s="4" t="s">
        <v>23</v>
      </c>
      <c r="L47" s="7"/>
      <c r="M47" s="4"/>
    </row>
    <row r="48" customFormat="false" ht="15" hidden="false" customHeight="false" outlineLevel="0" collapsed="false">
      <c r="A48" s="4" t="n">
        <v>44</v>
      </c>
      <c r="B48" s="8" t="s">
        <v>162</v>
      </c>
      <c r="C48" s="4" t="s">
        <v>284</v>
      </c>
      <c r="D48" s="4" t="s">
        <v>285</v>
      </c>
      <c r="E48" s="4" t="s">
        <v>286</v>
      </c>
      <c r="F48" s="4" t="s">
        <v>287</v>
      </c>
      <c r="G48" s="4" t="s">
        <v>288</v>
      </c>
      <c r="H48" s="6" t="s">
        <v>289</v>
      </c>
      <c r="I48" s="4" t="s">
        <v>290</v>
      </c>
      <c r="J48" s="6" t="s">
        <v>22</v>
      </c>
      <c r="K48" s="4" t="s">
        <v>23</v>
      </c>
      <c r="L48" s="7"/>
      <c r="M48" s="4"/>
    </row>
    <row r="49" customFormat="false" ht="15" hidden="false" customHeight="false" outlineLevel="0" collapsed="false">
      <c r="A49" s="4" t="n">
        <v>45</v>
      </c>
      <c r="B49" s="8" t="s">
        <v>162</v>
      </c>
      <c r="C49" s="4" t="s">
        <v>291</v>
      </c>
      <c r="D49" s="4" t="s">
        <v>292</v>
      </c>
      <c r="E49" s="4" t="s">
        <v>293</v>
      </c>
      <c r="F49" s="4" t="s">
        <v>294</v>
      </c>
      <c r="G49" s="4" t="s">
        <v>295</v>
      </c>
      <c r="H49" s="6" t="s">
        <v>296</v>
      </c>
      <c r="I49" s="4" t="s">
        <v>20</v>
      </c>
      <c r="J49" s="6" t="s">
        <v>22</v>
      </c>
      <c r="K49" s="4" t="s">
        <v>23</v>
      </c>
      <c r="L49" s="7"/>
      <c r="M49" s="4"/>
    </row>
    <row r="50" customFormat="false" ht="23.85" hidden="false" customHeight="false" outlineLevel="0" collapsed="false">
      <c r="A50" s="4" t="n">
        <v>46</v>
      </c>
      <c r="B50" s="8" t="s">
        <v>162</v>
      </c>
      <c r="C50" s="4" t="s">
        <v>297</v>
      </c>
      <c r="D50" s="4" t="s">
        <v>298</v>
      </c>
      <c r="E50" s="4" t="s">
        <v>299</v>
      </c>
      <c r="F50" s="4" t="s">
        <v>300</v>
      </c>
      <c r="G50" s="4" t="s">
        <v>79</v>
      </c>
      <c r="H50" s="6" t="s">
        <v>301</v>
      </c>
      <c r="I50" s="4" t="s">
        <v>302</v>
      </c>
      <c r="J50" s="6" t="s">
        <v>22</v>
      </c>
      <c r="K50" s="4" t="s">
        <v>23</v>
      </c>
      <c r="L50" s="7"/>
      <c r="M50" s="4"/>
    </row>
    <row r="51" customFormat="false" ht="15" hidden="false" customHeight="false" outlineLevel="0" collapsed="false">
      <c r="A51" s="4" t="n">
        <v>47</v>
      </c>
      <c r="B51" s="8" t="s">
        <v>162</v>
      </c>
      <c r="C51" s="4" t="s">
        <v>303</v>
      </c>
      <c r="D51" s="4" t="s">
        <v>304</v>
      </c>
      <c r="E51" s="4" t="s">
        <v>305</v>
      </c>
      <c r="F51" s="4" t="s">
        <v>306</v>
      </c>
      <c r="G51" s="4" t="s">
        <v>79</v>
      </c>
      <c r="H51" s="6" t="s">
        <v>307</v>
      </c>
      <c r="I51" s="4" t="s">
        <v>308</v>
      </c>
      <c r="J51" s="6" t="s">
        <v>22</v>
      </c>
      <c r="K51" s="4" t="s">
        <v>23</v>
      </c>
      <c r="L51" s="7"/>
      <c r="M51" s="4"/>
    </row>
    <row r="52" customFormat="false" ht="23.85" hidden="false" customHeight="false" outlineLevel="0" collapsed="false">
      <c r="A52" s="4" t="n">
        <v>48</v>
      </c>
      <c r="B52" s="8" t="s">
        <v>162</v>
      </c>
      <c r="C52" s="4" t="s">
        <v>309</v>
      </c>
      <c r="D52" s="4" t="s">
        <v>310</v>
      </c>
      <c r="E52" s="4" t="s">
        <v>311</v>
      </c>
      <c r="F52" s="4" t="s">
        <v>312</v>
      </c>
      <c r="G52" s="4" t="s">
        <v>313</v>
      </c>
      <c r="H52" s="6" t="s">
        <v>314</v>
      </c>
      <c r="I52" s="4" t="s">
        <v>315</v>
      </c>
      <c r="J52" s="6" t="s">
        <v>22</v>
      </c>
      <c r="K52" s="4" t="s">
        <v>23</v>
      </c>
      <c r="L52" s="7"/>
      <c r="M52" s="4"/>
    </row>
    <row r="53" customFormat="false" ht="15" hidden="false" customHeight="false" outlineLevel="0" collapsed="false">
      <c r="A53" s="4" t="n">
        <v>49</v>
      </c>
      <c r="B53" s="8" t="s">
        <v>162</v>
      </c>
      <c r="C53" s="4" t="s">
        <v>316</v>
      </c>
      <c r="D53" s="4" t="s">
        <v>317</v>
      </c>
      <c r="E53" s="4" t="s">
        <v>318</v>
      </c>
      <c r="F53" s="4" t="s">
        <v>319</v>
      </c>
      <c r="G53" s="4" t="s">
        <v>320</v>
      </c>
      <c r="H53" s="6" t="s">
        <v>321</v>
      </c>
      <c r="I53" s="4" t="s">
        <v>20</v>
      </c>
      <c r="J53" s="6" t="s">
        <v>22</v>
      </c>
      <c r="K53" s="4" t="s">
        <v>23</v>
      </c>
      <c r="L53" s="7"/>
      <c r="M53" s="4"/>
    </row>
    <row r="54" customFormat="false" ht="23.85" hidden="false" customHeight="false" outlineLevel="0" collapsed="false">
      <c r="A54" s="4" t="n">
        <v>50</v>
      </c>
      <c r="B54" s="8" t="s">
        <v>162</v>
      </c>
      <c r="C54" s="4" t="s">
        <v>322</v>
      </c>
      <c r="D54" s="4" t="s">
        <v>323</v>
      </c>
      <c r="E54" s="4" t="s">
        <v>324</v>
      </c>
      <c r="F54" s="4" t="s">
        <v>325</v>
      </c>
      <c r="G54" s="4" t="s">
        <v>20</v>
      </c>
      <c r="H54" s="6" t="s">
        <v>326</v>
      </c>
      <c r="I54" s="4" t="s">
        <v>327</v>
      </c>
      <c r="J54" s="6" t="s">
        <v>22</v>
      </c>
      <c r="K54" s="4" t="s">
        <v>23</v>
      </c>
      <c r="L54" s="7"/>
      <c r="M54" s="4"/>
    </row>
    <row r="55" customFormat="false" ht="23.85" hidden="false" customHeight="false" outlineLevel="0" collapsed="false">
      <c r="A55" s="4" t="n">
        <v>51</v>
      </c>
      <c r="B55" s="9" t="s">
        <v>328</v>
      </c>
      <c r="C55" s="4" t="s">
        <v>329</v>
      </c>
      <c r="D55" s="4" t="s">
        <v>330</v>
      </c>
      <c r="E55" s="4" t="s">
        <v>331</v>
      </c>
      <c r="F55" s="4" t="s">
        <v>332</v>
      </c>
      <c r="G55" s="4" t="s">
        <v>333</v>
      </c>
      <c r="H55" s="6" t="s">
        <v>334</v>
      </c>
      <c r="I55" s="4" t="s">
        <v>335</v>
      </c>
      <c r="J55" s="6" t="s">
        <v>22</v>
      </c>
      <c r="K55" s="4" t="s">
        <v>23</v>
      </c>
      <c r="L55" s="7"/>
      <c r="M55" s="4"/>
    </row>
    <row r="56" customFormat="false" ht="23.85" hidden="false" customHeight="false" outlineLevel="0" collapsed="false">
      <c r="A56" s="4" t="n">
        <v>52</v>
      </c>
      <c r="B56" s="9" t="s">
        <v>328</v>
      </c>
      <c r="C56" s="4" t="s">
        <v>336</v>
      </c>
      <c r="D56" s="4" t="s">
        <v>337</v>
      </c>
      <c r="E56" s="4" t="s">
        <v>338</v>
      </c>
      <c r="F56" s="4" t="s">
        <v>339</v>
      </c>
      <c r="G56" s="4" t="s">
        <v>340</v>
      </c>
      <c r="H56" s="6" t="s">
        <v>341</v>
      </c>
      <c r="I56" s="4" t="s">
        <v>342</v>
      </c>
      <c r="J56" s="6" t="s">
        <v>22</v>
      </c>
      <c r="K56" s="4" t="s">
        <v>23</v>
      </c>
      <c r="L56" s="7"/>
      <c r="M56" s="4"/>
    </row>
    <row r="57" customFormat="false" ht="15" hidden="false" customHeight="false" outlineLevel="0" collapsed="false">
      <c r="A57" s="4" t="n">
        <v>53</v>
      </c>
      <c r="B57" s="9" t="s">
        <v>328</v>
      </c>
      <c r="C57" s="4" t="s">
        <v>343</v>
      </c>
      <c r="D57" s="4" t="s">
        <v>344</v>
      </c>
      <c r="E57" s="4" t="s">
        <v>345</v>
      </c>
      <c r="F57" s="4" t="s">
        <v>346</v>
      </c>
      <c r="G57" s="4" t="s">
        <v>20</v>
      </c>
      <c r="H57" s="6" t="s">
        <v>347</v>
      </c>
      <c r="I57" s="4" t="s">
        <v>348</v>
      </c>
      <c r="J57" s="6" t="s">
        <v>22</v>
      </c>
      <c r="K57" s="4" t="s">
        <v>23</v>
      </c>
      <c r="L57" s="7"/>
      <c r="M57" s="4"/>
    </row>
    <row r="58" customFormat="false" ht="23.85" hidden="false" customHeight="false" outlineLevel="0" collapsed="false">
      <c r="A58" s="4" t="n">
        <v>54</v>
      </c>
      <c r="B58" s="9" t="s">
        <v>328</v>
      </c>
      <c r="C58" s="4" t="s">
        <v>349</v>
      </c>
      <c r="D58" s="4" t="s">
        <v>350</v>
      </c>
      <c r="E58" s="4" t="s">
        <v>351</v>
      </c>
      <c r="F58" s="4" t="s">
        <v>352</v>
      </c>
      <c r="G58" s="4" t="s">
        <v>353</v>
      </c>
      <c r="H58" s="6" t="s">
        <v>354</v>
      </c>
      <c r="I58" s="4" t="s">
        <v>355</v>
      </c>
      <c r="J58" s="6" t="s">
        <v>22</v>
      </c>
      <c r="K58" s="4" t="s">
        <v>23</v>
      </c>
      <c r="L58" s="7"/>
      <c r="M58" s="4"/>
    </row>
    <row r="59" customFormat="false" ht="23.85" hidden="false" customHeight="false" outlineLevel="0" collapsed="false">
      <c r="A59" s="4" t="n">
        <v>55</v>
      </c>
      <c r="B59" s="9" t="s">
        <v>328</v>
      </c>
      <c r="C59" s="4" t="s">
        <v>356</v>
      </c>
      <c r="D59" s="4" t="s">
        <v>357</v>
      </c>
      <c r="E59" s="4" t="s">
        <v>358</v>
      </c>
      <c r="F59" s="4" t="s">
        <v>359</v>
      </c>
      <c r="G59" s="4" t="s">
        <v>360</v>
      </c>
      <c r="H59" s="6" t="s">
        <v>361</v>
      </c>
      <c r="I59" s="4" t="s">
        <v>362</v>
      </c>
      <c r="J59" s="6" t="s">
        <v>22</v>
      </c>
      <c r="K59" s="4" t="s">
        <v>23</v>
      </c>
      <c r="L59" s="7"/>
      <c r="M59" s="4"/>
    </row>
    <row r="60" customFormat="false" ht="23.85" hidden="false" customHeight="false" outlineLevel="0" collapsed="false">
      <c r="A60" s="4" t="n">
        <v>56</v>
      </c>
      <c r="B60" s="9" t="s">
        <v>328</v>
      </c>
      <c r="C60" s="4" t="s">
        <v>363</v>
      </c>
      <c r="D60" s="4" t="s">
        <v>364</v>
      </c>
      <c r="E60" s="4" t="s">
        <v>365</v>
      </c>
      <c r="F60" s="4" t="s">
        <v>366</v>
      </c>
      <c r="G60" s="4" t="s">
        <v>367</v>
      </c>
      <c r="H60" s="6" t="s">
        <v>368</v>
      </c>
      <c r="I60" s="4" t="s">
        <v>369</v>
      </c>
      <c r="J60" s="6" t="s">
        <v>22</v>
      </c>
      <c r="K60" s="4" t="s">
        <v>23</v>
      </c>
      <c r="L60" s="7"/>
      <c r="M60" s="4"/>
    </row>
    <row r="61" customFormat="false" ht="23.85" hidden="false" customHeight="false" outlineLevel="0" collapsed="false">
      <c r="A61" s="4" t="n">
        <v>57</v>
      </c>
      <c r="B61" s="9" t="s">
        <v>328</v>
      </c>
      <c r="C61" s="4" t="s">
        <v>370</v>
      </c>
      <c r="D61" s="4" t="s">
        <v>371</v>
      </c>
      <c r="E61" s="4" t="s">
        <v>372</v>
      </c>
      <c r="F61" s="4" t="s">
        <v>373</v>
      </c>
      <c r="G61" s="4" t="s">
        <v>20</v>
      </c>
      <c r="H61" s="6" t="s">
        <v>374</v>
      </c>
      <c r="I61" s="4" t="s">
        <v>375</v>
      </c>
      <c r="J61" s="6" t="s">
        <v>22</v>
      </c>
      <c r="K61" s="4" t="s">
        <v>23</v>
      </c>
      <c r="L61" s="7"/>
      <c r="M61" s="4"/>
    </row>
    <row r="62" customFormat="false" ht="15" hidden="false" customHeight="false" outlineLevel="0" collapsed="false">
      <c r="A62" s="4" t="n">
        <v>58</v>
      </c>
      <c r="B62" s="9" t="s">
        <v>328</v>
      </c>
      <c r="C62" s="4" t="s">
        <v>376</v>
      </c>
      <c r="D62" s="4" t="s">
        <v>377</v>
      </c>
      <c r="E62" s="4" t="s">
        <v>378</v>
      </c>
      <c r="F62" s="4" t="s">
        <v>379</v>
      </c>
      <c r="G62" s="4" t="s">
        <v>79</v>
      </c>
      <c r="H62" s="6" t="s">
        <v>380</v>
      </c>
      <c r="I62" s="4" t="s">
        <v>381</v>
      </c>
      <c r="J62" s="6" t="s">
        <v>22</v>
      </c>
      <c r="K62" s="4" t="s">
        <v>23</v>
      </c>
      <c r="L62" s="7"/>
      <c r="M62" s="4"/>
    </row>
    <row r="63" customFormat="false" ht="23.85" hidden="false" customHeight="false" outlineLevel="0" collapsed="false">
      <c r="A63" s="4" t="n">
        <v>59</v>
      </c>
      <c r="B63" s="9" t="s">
        <v>328</v>
      </c>
      <c r="C63" s="4" t="s">
        <v>382</v>
      </c>
      <c r="D63" s="4" t="s">
        <v>383</v>
      </c>
      <c r="E63" s="4" t="s">
        <v>384</v>
      </c>
      <c r="F63" s="4" t="s">
        <v>385</v>
      </c>
      <c r="G63" s="4" t="s">
        <v>20</v>
      </c>
      <c r="H63" s="6" t="s">
        <v>386</v>
      </c>
      <c r="I63" s="4" t="s">
        <v>20</v>
      </c>
      <c r="J63" s="6" t="s">
        <v>22</v>
      </c>
      <c r="K63" s="4" t="s">
        <v>23</v>
      </c>
      <c r="L63" s="7"/>
      <c r="M63" s="4"/>
    </row>
    <row r="64" customFormat="false" ht="23.85" hidden="false" customHeight="false" outlineLevel="0" collapsed="false">
      <c r="A64" s="4" t="n">
        <v>60</v>
      </c>
      <c r="B64" s="9" t="s">
        <v>328</v>
      </c>
      <c r="C64" s="4" t="s">
        <v>387</v>
      </c>
      <c r="D64" s="4" t="s">
        <v>388</v>
      </c>
      <c r="E64" s="4" t="s">
        <v>389</v>
      </c>
      <c r="F64" s="4" t="s">
        <v>390</v>
      </c>
      <c r="G64" s="4" t="s">
        <v>20</v>
      </c>
      <c r="H64" s="6" t="s">
        <v>391</v>
      </c>
      <c r="I64" s="4" t="s">
        <v>392</v>
      </c>
      <c r="J64" s="6" t="s">
        <v>22</v>
      </c>
      <c r="K64" s="4" t="s">
        <v>23</v>
      </c>
      <c r="L64" s="7"/>
      <c r="M64" s="4"/>
    </row>
    <row r="65" customFormat="false" ht="23.85" hidden="false" customHeight="false" outlineLevel="0" collapsed="false">
      <c r="A65" s="4" t="n">
        <v>61</v>
      </c>
      <c r="B65" s="9" t="s">
        <v>328</v>
      </c>
      <c r="C65" s="4" t="s">
        <v>393</v>
      </c>
      <c r="D65" s="4" t="s">
        <v>394</v>
      </c>
      <c r="E65" s="4" t="s">
        <v>395</v>
      </c>
      <c r="F65" s="4" t="s">
        <v>396</v>
      </c>
      <c r="G65" s="4" t="s">
        <v>72</v>
      </c>
      <c r="H65" s="6" t="s">
        <v>397</v>
      </c>
      <c r="I65" s="4" t="s">
        <v>398</v>
      </c>
      <c r="J65" s="6" t="s">
        <v>22</v>
      </c>
      <c r="K65" s="4" t="s">
        <v>23</v>
      </c>
      <c r="L65" s="7"/>
      <c r="M65" s="4"/>
    </row>
    <row r="66" customFormat="false" ht="23.85" hidden="false" customHeight="false" outlineLevel="0" collapsed="false">
      <c r="A66" s="4" t="n">
        <v>62</v>
      </c>
      <c r="B66" s="9" t="s">
        <v>328</v>
      </c>
      <c r="C66" s="4" t="s">
        <v>399</v>
      </c>
      <c r="D66" s="4" t="s">
        <v>400</v>
      </c>
      <c r="E66" s="4" t="s">
        <v>401</v>
      </c>
      <c r="F66" s="4" t="s">
        <v>402</v>
      </c>
      <c r="G66" s="4" t="s">
        <v>403</v>
      </c>
      <c r="H66" s="6" t="s">
        <v>404</v>
      </c>
      <c r="I66" s="4" t="s">
        <v>405</v>
      </c>
      <c r="J66" s="6" t="s">
        <v>22</v>
      </c>
      <c r="K66" s="4" t="s">
        <v>23</v>
      </c>
      <c r="L66" s="7"/>
      <c r="M66" s="4"/>
    </row>
    <row r="67" customFormat="false" ht="15" hidden="false" customHeight="false" outlineLevel="0" collapsed="false">
      <c r="A67" s="4" t="n">
        <v>63</v>
      </c>
      <c r="B67" s="9" t="s">
        <v>328</v>
      </c>
      <c r="C67" s="4" t="s">
        <v>406</v>
      </c>
      <c r="D67" s="4" t="s">
        <v>407</v>
      </c>
      <c r="E67" s="4" t="s">
        <v>408</v>
      </c>
      <c r="F67" s="4" t="s">
        <v>409</v>
      </c>
      <c r="G67" s="4" t="s">
        <v>20</v>
      </c>
      <c r="H67" s="6" t="s">
        <v>410</v>
      </c>
      <c r="I67" s="4" t="s">
        <v>411</v>
      </c>
      <c r="J67" s="6" t="s">
        <v>22</v>
      </c>
      <c r="K67" s="4" t="s">
        <v>23</v>
      </c>
      <c r="L67" s="7"/>
      <c r="M67" s="4"/>
    </row>
    <row r="68" customFormat="false" ht="23.85" hidden="false" customHeight="false" outlineLevel="0" collapsed="false">
      <c r="A68" s="4" t="n">
        <v>64</v>
      </c>
      <c r="B68" s="9" t="s">
        <v>328</v>
      </c>
      <c r="C68" s="4" t="s">
        <v>412</v>
      </c>
      <c r="D68" s="4" t="s">
        <v>413</v>
      </c>
      <c r="E68" s="4" t="s">
        <v>414</v>
      </c>
      <c r="F68" s="4" t="s">
        <v>415</v>
      </c>
      <c r="G68" s="4" t="s">
        <v>79</v>
      </c>
      <c r="H68" s="6" t="s">
        <v>416</v>
      </c>
      <c r="I68" s="4" t="s">
        <v>417</v>
      </c>
      <c r="J68" s="6" t="s">
        <v>22</v>
      </c>
      <c r="K68" s="4" t="s">
        <v>23</v>
      </c>
      <c r="L68" s="7"/>
      <c r="M68" s="4"/>
    </row>
    <row r="69" customFormat="false" ht="23.85" hidden="false" customHeight="false" outlineLevel="0" collapsed="false">
      <c r="A69" s="4" t="n">
        <v>65</v>
      </c>
      <c r="B69" s="9" t="s">
        <v>328</v>
      </c>
      <c r="C69" s="4" t="s">
        <v>418</v>
      </c>
      <c r="D69" s="4" t="s">
        <v>419</v>
      </c>
      <c r="E69" s="4" t="s">
        <v>420</v>
      </c>
      <c r="F69" s="4" t="s">
        <v>421</v>
      </c>
      <c r="G69" s="4" t="s">
        <v>72</v>
      </c>
      <c r="H69" s="6" t="s">
        <v>422</v>
      </c>
      <c r="I69" s="4" t="s">
        <v>423</v>
      </c>
      <c r="J69" s="6" t="s">
        <v>22</v>
      </c>
      <c r="K69" s="4" t="s">
        <v>23</v>
      </c>
      <c r="L69" s="7"/>
      <c r="M69" s="4"/>
    </row>
    <row r="70" customFormat="false" ht="15" hidden="false" customHeight="false" outlineLevel="0" collapsed="false">
      <c r="A70" s="4" t="n">
        <v>66</v>
      </c>
      <c r="B70" s="9" t="s">
        <v>328</v>
      </c>
      <c r="C70" s="4" t="s">
        <v>424</v>
      </c>
      <c r="D70" s="4" t="s">
        <v>425</v>
      </c>
      <c r="E70" s="4" t="s">
        <v>426</v>
      </c>
      <c r="F70" s="4" t="s">
        <v>427</v>
      </c>
      <c r="G70" s="4" t="s">
        <v>428</v>
      </c>
      <c r="H70" s="6" t="s">
        <v>429</v>
      </c>
      <c r="I70" s="4" t="s">
        <v>430</v>
      </c>
      <c r="J70" s="6" t="s">
        <v>22</v>
      </c>
      <c r="K70" s="4" t="s">
        <v>23</v>
      </c>
      <c r="L70" s="7"/>
      <c r="M70" s="4"/>
    </row>
    <row r="71" customFormat="false" ht="23.85" hidden="false" customHeight="false" outlineLevel="0" collapsed="false">
      <c r="A71" s="4" t="n">
        <v>67</v>
      </c>
      <c r="B71" s="9" t="s">
        <v>328</v>
      </c>
      <c r="C71" s="4" t="s">
        <v>431</v>
      </c>
      <c r="D71" s="4" t="s">
        <v>432</v>
      </c>
      <c r="E71" s="4" t="s">
        <v>433</v>
      </c>
      <c r="F71" s="4" t="s">
        <v>434</v>
      </c>
      <c r="G71" s="4" t="s">
        <v>435</v>
      </c>
      <c r="H71" s="6" t="s">
        <v>436</v>
      </c>
      <c r="I71" s="4" t="s">
        <v>437</v>
      </c>
      <c r="J71" s="6" t="s">
        <v>22</v>
      </c>
      <c r="K71" s="4" t="s">
        <v>23</v>
      </c>
      <c r="L71" s="7"/>
      <c r="M71" s="4"/>
    </row>
    <row r="72" customFormat="false" ht="23.85" hidden="false" customHeight="false" outlineLevel="0" collapsed="false">
      <c r="A72" s="4" t="n">
        <v>68</v>
      </c>
      <c r="B72" s="9" t="s">
        <v>328</v>
      </c>
      <c r="C72" s="4" t="s">
        <v>438</v>
      </c>
      <c r="D72" s="4" t="s">
        <v>439</v>
      </c>
      <c r="E72" s="4" t="s">
        <v>440</v>
      </c>
      <c r="F72" s="4" t="s">
        <v>441</v>
      </c>
      <c r="G72" s="4" t="s">
        <v>20</v>
      </c>
      <c r="H72" s="6" t="s">
        <v>442</v>
      </c>
      <c r="I72" s="4" t="s">
        <v>443</v>
      </c>
      <c r="J72" s="6" t="s">
        <v>22</v>
      </c>
      <c r="K72" s="4" t="s">
        <v>23</v>
      </c>
      <c r="L72" s="7"/>
      <c r="M72" s="4"/>
    </row>
    <row r="73" customFormat="false" ht="23.85" hidden="false" customHeight="false" outlineLevel="0" collapsed="false">
      <c r="A73" s="4" t="n">
        <v>69</v>
      </c>
      <c r="B73" s="9" t="s">
        <v>328</v>
      </c>
      <c r="C73" s="4" t="s">
        <v>444</v>
      </c>
      <c r="D73" s="4" t="s">
        <v>445</v>
      </c>
      <c r="E73" s="4" t="s">
        <v>446</v>
      </c>
      <c r="F73" s="4" t="s">
        <v>447</v>
      </c>
      <c r="G73" s="4" t="s">
        <v>448</v>
      </c>
      <c r="H73" s="6" t="s">
        <v>449</v>
      </c>
      <c r="I73" s="4" t="s">
        <v>450</v>
      </c>
      <c r="J73" s="6" t="s">
        <v>22</v>
      </c>
      <c r="K73" s="4" t="s">
        <v>23</v>
      </c>
      <c r="L73" s="7"/>
      <c r="M73" s="4"/>
    </row>
    <row r="74" customFormat="false" ht="23.85" hidden="false" customHeight="false" outlineLevel="0" collapsed="false">
      <c r="A74" s="4" t="n">
        <v>70</v>
      </c>
      <c r="B74" s="9" t="s">
        <v>328</v>
      </c>
      <c r="C74" s="4" t="s">
        <v>451</v>
      </c>
      <c r="D74" s="4" t="s">
        <v>452</v>
      </c>
      <c r="E74" s="4" t="s">
        <v>453</v>
      </c>
      <c r="F74" s="4" t="s">
        <v>454</v>
      </c>
      <c r="G74" s="4" t="s">
        <v>455</v>
      </c>
      <c r="H74" s="6" t="s">
        <v>456</v>
      </c>
      <c r="I74" s="4" t="s">
        <v>457</v>
      </c>
      <c r="J74" s="6" t="s">
        <v>22</v>
      </c>
      <c r="K74" s="4" t="s">
        <v>23</v>
      </c>
      <c r="L74" s="7"/>
      <c r="M74" s="4"/>
    </row>
    <row r="75" customFormat="false" ht="15" hidden="false" customHeight="false" outlineLevel="0" collapsed="false">
      <c r="A75" s="4" t="n">
        <v>71</v>
      </c>
      <c r="B75" s="9" t="s">
        <v>328</v>
      </c>
      <c r="C75" s="4" t="s">
        <v>458</v>
      </c>
      <c r="D75" s="4" t="s">
        <v>459</v>
      </c>
      <c r="E75" s="4" t="s">
        <v>460</v>
      </c>
      <c r="F75" s="4" t="s">
        <v>461</v>
      </c>
      <c r="G75" s="4" t="s">
        <v>462</v>
      </c>
      <c r="H75" s="6" t="s">
        <v>463</v>
      </c>
      <c r="I75" s="4" t="s">
        <v>464</v>
      </c>
      <c r="J75" s="6" t="s">
        <v>22</v>
      </c>
      <c r="K75" s="4" t="s">
        <v>23</v>
      </c>
      <c r="L75" s="7"/>
      <c r="M75" s="4"/>
    </row>
    <row r="76" customFormat="false" ht="23.85" hidden="false" customHeight="false" outlineLevel="0" collapsed="false">
      <c r="A76" s="4" t="n">
        <v>72</v>
      </c>
      <c r="B76" s="9" t="s">
        <v>328</v>
      </c>
      <c r="C76" s="4" t="s">
        <v>465</v>
      </c>
      <c r="D76" s="4" t="s">
        <v>466</v>
      </c>
      <c r="E76" s="4" t="s">
        <v>467</v>
      </c>
      <c r="F76" s="4" t="s">
        <v>468</v>
      </c>
      <c r="G76" s="4" t="s">
        <v>20</v>
      </c>
      <c r="H76" s="6" t="s">
        <v>469</v>
      </c>
      <c r="I76" s="4" t="s">
        <v>470</v>
      </c>
      <c r="J76" s="6" t="s">
        <v>22</v>
      </c>
      <c r="K76" s="4" t="s">
        <v>23</v>
      </c>
      <c r="L76" s="7"/>
      <c r="M76" s="4"/>
    </row>
    <row r="77" customFormat="false" ht="23.85" hidden="false" customHeight="false" outlineLevel="0" collapsed="false">
      <c r="A77" s="4" t="n">
        <v>73</v>
      </c>
      <c r="B77" s="9" t="s">
        <v>328</v>
      </c>
      <c r="C77" s="4" t="s">
        <v>471</v>
      </c>
      <c r="D77" s="4" t="s">
        <v>472</v>
      </c>
      <c r="E77" s="4" t="s">
        <v>473</v>
      </c>
      <c r="F77" s="4" t="s">
        <v>474</v>
      </c>
      <c r="G77" s="4" t="s">
        <v>403</v>
      </c>
      <c r="H77" s="6" t="s">
        <v>475</v>
      </c>
      <c r="I77" s="4" t="s">
        <v>476</v>
      </c>
      <c r="J77" s="6" t="s">
        <v>22</v>
      </c>
      <c r="K77" s="4" t="s">
        <v>23</v>
      </c>
      <c r="L77" s="7"/>
      <c r="M77" s="4"/>
    </row>
    <row r="78" customFormat="false" ht="23.85" hidden="false" customHeight="false" outlineLevel="0" collapsed="false">
      <c r="A78" s="4" t="n">
        <v>74</v>
      </c>
      <c r="B78" s="9" t="s">
        <v>328</v>
      </c>
      <c r="C78" s="4" t="s">
        <v>477</v>
      </c>
      <c r="D78" s="4" t="s">
        <v>478</v>
      </c>
      <c r="E78" s="4" t="s">
        <v>479</v>
      </c>
      <c r="F78" s="4" t="s">
        <v>480</v>
      </c>
      <c r="G78" s="4" t="s">
        <v>20</v>
      </c>
      <c r="H78" s="6" t="s">
        <v>481</v>
      </c>
      <c r="I78" s="4" t="s">
        <v>482</v>
      </c>
      <c r="J78" s="6" t="s">
        <v>22</v>
      </c>
      <c r="K78" s="4" t="s">
        <v>23</v>
      </c>
      <c r="L78" s="7"/>
      <c r="M78" s="4"/>
    </row>
    <row r="79" customFormat="false" ht="23.85" hidden="false" customHeight="false" outlineLevel="0" collapsed="false">
      <c r="A79" s="4" t="n">
        <v>75</v>
      </c>
      <c r="B79" s="9" t="s">
        <v>328</v>
      </c>
      <c r="C79" s="4" t="s">
        <v>483</v>
      </c>
      <c r="D79" s="4" t="s">
        <v>484</v>
      </c>
      <c r="E79" s="4" t="s">
        <v>485</v>
      </c>
      <c r="F79" s="4" t="s">
        <v>486</v>
      </c>
      <c r="G79" s="4" t="s">
        <v>47</v>
      </c>
      <c r="H79" s="6" t="s">
        <v>487</v>
      </c>
      <c r="I79" s="4" t="s">
        <v>488</v>
      </c>
      <c r="J79" s="6" t="s">
        <v>22</v>
      </c>
      <c r="K79" s="4" t="s">
        <v>23</v>
      </c>
      <c r="L79" s="7"/>
      <c r="M79" s="4"/>
    </row>
    <row r="80" customFormat="false" ht="23.85" hidden="false" customHeight="false" outlineLevel="0" collapsed="false">
      <c r="A80" s="4" t="n">
        <v>76</v>
      </c>
      <c r="B80" s="10" t="s">
        <v>489</v>
      </c>
      <c r="C80" s="4" t="s">
        <v>490</v>
      </c>
      <c r="D80" s="4" t="s">
        <v>491</v>
      </c>
      <c r="E80" s="4" t="s">
        <v>492</v>
      </c>
      <c r="F80" s="4" t="s">
        <v>493</v>
      </c>
      <c r="G80" s="4" t="s">
        <v>53</v>
      </c>
      <c r="H80" s="6" t="s">
        <v>494</v>
      </c>
      <c r="I80" s="4" t="s">
        <v>495</v>
      </c>
      <c r="J80" s="6" t="s">
        <v>22</v>
      </c>
      <c r="K80" s="4" t="s">
        <v>23</v>
      </c>
      <c r="L80" s="7"/>
      <c r="M80" s="4"/>
    </row>
    <row r="81" customFormat="false" ht="23.85" hidden="false" customHeight="false" outlineLevel="0" collapsed="false">
      <c r="A81" s="4" t="n">
        <v>77</v>
      </c>
      <c r="B81" s="10" t="s">
        <v>489</v>
      </c>
      <c r="C81" s="4" t="s">
        <v>496</v>
      </c>
      <c r="D81" s="4" t="s">
        <v>497</v>
      </c>
      <c r="E81" s="4" t="s">
        <v>498</v>
      </c>
      <c r="F81" s="4" t="s">
        <v>499</v>
      </c>
      <c r="G81" s="4" t="s">
        <v>20</v>
      </c>
      <c r="H81" s="6" t="s">
        <v>500</v>
      </c>
      <c r="I81" s="4" t="s">
        <v>20</v>
      </c>
      <c r="J81" s="6" t="s">
        <v>22</v>
      </c>
      <c r="K81" s="4" t="s">
        <v>23</v>
      </c>
      <c r="L81" s="7"/>
      <c r="M81" s="4"/>
    </row>
    <row r="82" customFormat="false" ht="23.85" hidden="false" customHeight="false" outlineLevel="0" collapsed="false">
      <c r="A82" s="4" t="n">
        <v>78</v>
      </c>
      <c r="B82" s="10" t="s">
        <v>489</v>
      </c>
      <c r="C82" s="4" t="s">
        <v>501</v>
      </c>
      <c r="D82" s="4" t="s">
        <v>502</v>
      </c>
      <c r="E82" s="4" t="s">
        <v>503</v>
      </c>
      <c r="F82" s="4" t="s">
        <v>504</v>
      </c>
      <c r="G82" s="4" t="s">
        <v>505</v>
      </c>
      <c r="H82" s="6" t="s">
        <v>506</v>
      </c>
      <c r="I82" s="4" t="s">
        <v>507</v>
      </c>
      <c r="J82" s="6" t="s">
        <v>22</v>
      </c>
      <c r="K82" s="4" t="s">
        <v>23</v>
      </c>
      <c r="L82" s="7"/>
      <c r="M82" s="4"/>
    </row>
    <row r="83" customFormat="false" ht="23.85" hidden="false" customHeight="false" outlineLevel="0" collapsed="false">
      <c r="A83" s="4" t="n">
        <v>79</v>
      </c>
      <c r="B83" s="10" t="s">
        <v>489</v>
      </c>
      <c r="C83" s="4" t="s">
        <v>508</v>
      </c>
      <c r="D83" s="4" t="s">
        <v>509</v>
      </c>
      <c r="E83" s="4" t="s">
        <v>510</v>
      </c>
      <c r="F83" s="4" t="s">
        <v>511</v>
      </c>
      <c r="G83" s="4" t="s">
        <v>512</v>
      </c>
      <c r="H83" s="6" t="s">
        <v>513</v>
      </c>
      <c r="I83" s="4" t="s">
        <v>514</v>
      </c>
      <c r="J83" s="6" t="s">
        <v>22</v>
      </c>
      <c r="K83" s="4" t="s">
        <v>23</v>
      </c>
      <c r="L83" s="7"/>
      <c r="M83" s="4"/>
    </row>
    <row r="84" customFormat="false" ht="23.85" hidden="false" customHeight="false" outlineLevel="0" collapsed="false">
      <c r="A84" s="4" t="n">
        <v>80</v>
      </c>
      <c r="B84" s="10" t="s">
        <v>489</v>
      </c>
      <c r="C84" s="4" t="s">
        <v>515</v>
      </c>
      <c r="D84" s="4" t="s">
        <v>516</v>
      </c>
      <c r="E84" s="4" t="s">
        <v>517</v>
      </c>
      <c r="F84" s="4" t="s">
        <v>518</v>
      </c>
      <c r="G84" s="4" t="s">
        <v>519</v>
      </c>
      <c r="H84" s="6" t="s">
        <v>520</v>
      </c>
      <c r="I84" s="4" t="s">
        <v>521</v>
      </c>
      <c r="J84" s="6" t="s">
        <v>22</v>
      </c>
      <c r="K84" s="4" t="s">
        <v>23</v>
      </c>
      <c r="L84" s="7"/>
      <c r="M84" s="4"/>
    </row>
    <row r="85" customFormat="false" ht="23.85" hidden="false" customHeight="false" outlineLevel="0" collapsed="false">
      <c r="A85" s="4" t="n">
        <v>81</v>
      </c>
      <c r="B85" s="10" t="s">
        <v>489</v>
      </c>
      <c r="C85" s="4" t="s">
        <v>522</v>
      </c>
      <c r="D85" s="4" t="s">
        <v>523</v>
      </c>
      <c r="E85" s="4" t="s">
        <v>524</v>
      </c>
      <c r="F85" s="4" t="s">
        <v>525</v>
      </c>
      <c r="G85" s="4" t="s">
        <v>20</v>
      </c>
      <c r="H85" s="6" t="s">
        <v>526</v>
      </c>
      <c r="I85" s="4" t="s">
        <v>527</v>
      </c>
      <c r="J85" s="6" t="s">
        <v>22</v>
      </c>
      <c r="K85" s="4" t="s">
        <v>23</v>
      </c>
      <c r="L85" s="7"/>
      <c r="M85" s="4"/>
    </row>
    <row r="86" customFormat="false" ht="23.85" hidden="false" customHeight="false" outlineLevel="0" collapsed="false">
      <c r="A86" s="4" t="n">
        <v>82</v>
      </c>
      <c r="B86" s="10" t="s">
        <v>489</v>
      </c>
      <c r="C86" s="4" t="s">
        <v>528</v>
      </c>
      <c r="D86" s="4" t="s">
        <v>529</v>
      </c>
      <c r="E86" s="4" t="s">
        <v>530</v>
      </c>
      <c r="F86" s="4" t="s">
        <v>531</v>
      </c>
      <c r="G86" s="4" t="s">
        <v>218</v>
      </c>
      <c r="H86" s="6" t="s">
        <v>532</v>
      </c>
      <c r="I86" s="4" t="s">
        <v>533</v>
      </c>
      <c r="J86" s="6" t="s">
        <v>22</v>
      </c>
      <c r="K86" s="4" t="s">
        <v>23</v>
      </c>
      <c r="L86" s="7"/>
      <c r="M86" s="4"/>
    </row>
    <row r="87" customFormat="false" ht="23.85" hidden="false" customHeight="false" outlineLevel="0" collapsed="false">
      <c r="A87" s="4" t="n">
        <v>83</v>
      </c>
      <c r="B87" s="10" t="s">
        <v>489</v>
      </c>
      <c r="C87" s="4" t="s">
        <v>534</v>
      </c>
      <c r="D87" s="4" t="s">
        <v>535</v>
      </c>
      <c r="E87" s="4" t="s">
        <v>536</v>
      </c>
      <c r="F87" s="4" t="s">
        <v>537</v>
      </c>
      <c r="G87" s="4" t="s">
        <v>20</v>
      </c>
      <c r="H87" s="6" t="s">
        <v>538</v>
      </c>
      <c r="I87" s="4" t="s">
        <v>20</v>
      </c>
      <c r="J87" s="6" t="s">
        <v>22</v>
      </c>
      <c r="K87" s="4" t="s">
        <v>23</v>
      </c>
      <c r="L87" s="7"/>
      <c r="M87" s="4"/>
    </row>
    <row r="88" customFormat="false" ht="23.85" hidden="false" customHeight="false" outlineLevel="0" collapsed="false">
      <c r="A88" s="4" t="n">
        <v>84</v>
      </c>
      <c r="B88" s="10" t="s">
        <v>489</v>
      </c>
      <c r="C88" s="4" t="s">
        <v>539</v>
      </c>
      <c r="D88" s="4" t="s">
        <v>540</v>
      </c>
      <c r="E88" s="4" t="s">
        <v>541</v>
      </c>
      <c r="F88" s="4" t="s">
        <v>542</v>
      </c>
      <c r="G88" s="4" t="s">
        <v>20</v>
      </c>
      <c r="H88" s="6" t="s">
        <v>543</v>
      </c>
      <c r="I88" s="4" t="s">
        <v>544</v>
      </c>
      <c r="J88" s="6" t="s">
        <v>22</v>
      </c>
      <c r="K88" s="4" t="s">
        <v>23</v>
      </c>
      <c r="L88" s="7"/>
      <c r="M88" s="4"/>
    </row>
    <row r="89" customFormat="false" ht="23.85" hidden="false" customHeight="false" outlineLevel="0" collapsed="false">
      <c r="A89" s="4" t="n">
        <v>85</v>
      </c>
      <c r="B89" s="10" t="s">
        <v>489</v>
      </c>
      <c r="C89" s="4" t="s">
        <v>545</v>
      </c>
      <c r="D89" s="4" t="s">
        <v>546</v>
      </c>
      <c r="E89" s="4" t="s">
        <v>547</v>
      </c>
      <c r="F89" s="4" t="s">
        <v>548</v>
      </c>
      <c r="G89" s="4" t="s">
        <v>549</v>
      </c>
      <c r="H89" s="6" t="s">
        <v>550</v>
      </c>
      <c r="I89" s="4" t="s">
        <v>551</v>
      </c>
      <c r="J89" s="6" t="s">
        <v>22</v>
      </c>
      <c r="K89" s="4" t="s">
        <v>23</v>
      </c>
      <c r="L89" s="7"/>
      <c r="M89" s="4"/>
    </row>
    <row r="90" customFormat="false" ht="23.85" hidden="false" customHeight="false" outlineLevel="0" collapsed="false">
      <c r="A90" s="4" t="n">
        <v>86</v>
      </c>
      <c r="B90" s="10" t="s">
        <v>489</v>
      </c>
      <c r="C90" s="4" t="s">
        <v>552</v>
      </c>
      <c r="D90" s="4" t="s">
        <v>553</v>
      </c>
      <c r="E90" s="4" t="s">
        <v>554</v>
      </c>
      <c r="F90" s="4" t="s">
        <v>555</v>
      </c>
      <c r="G90" s="4" t="s">
        <v>556</v>
      </c>
      <c r="H90" s="6" t="s">
        <v>557</v>
      </c>
      <c r="I90" s="4" t="s">
        <v>558</v>
      </c>
      <c r="J90" s="6" t="s">
        <v>22</v>
      </c>
      <c r="K90" s="4" t="s">
        <v>23</v>
      </c>
      <c r="L90" s="7"/>
      <c r="M90" s="4"/>
    </row>
    <row r="91" customFormat="false" ht="23.85" hidden="false" customHeight="false" outlineLevel="0" collapsed="false">
      <c r="A91" s="4" t="n">
        <v>87</v>
      </c>
      <c r="B91" s="10" t="s">
        <v>489</v>
      </c>
      <c r="C91" s="4" t="s">
        <v>559</v>
      </c>
      <c r="D91" s="4" t="s">
        <v>553</v>
      </c>
      <c r="E91" s="4" t="s">
        <v>560</v>
      </c>
      <c r="F91" s="4" t="s">
        <v>561</v>
      </c>
      <c r="G91" s="4" t="s">
        <v>562</v>
      </c>
      <c r="H91" s="6" t="s">
        <v>563</v>
      </c>
      <c r="I91" s="4" t="s">
        <v>564</v>
      </c>
      <c r="J91" s="6" t="s">
        <v>22</v>
      </c>
      <c r="K91" s="4" t="s">
        <v>23</v>
      </c>
      <c r="L91" s="7"/>
      <c r="M91" s="4"/>
    </row>
    <row r="92" customFormat="false" ht="23.85" hidden="false" customHeight="false" outlineLevel="0" collapsed="false">
      <c r="A92" s="4" t="n">
        <v>88</v>
      </c>
      <c r="B92" s="10" t="s">
        <v>489</v>
      </c>
      <c r="C92" s="4" t="s">
        <v>565</v>
      </c>
      <c r="D92" s="4" t="s">
        <v>540</v>
      </c>
      <c r="E92" s="4" t="s">
        <v>566</v>
      </c>
      <c r="F92" s="4" t="s">
        <v>567</v>
      </c>
      <c r="G92" s="4" t="s">
        <v>568</v>
      </c>
      <c r="H92" s="6" t="s">
        <v>569</v>
      </c>
      <c r="I92" s="4" t="s">
        <v>570</v>
      </c>
      <c r="J92" s="6" t="s">
        <v>22</v>
      </c>
      <c r="K92" s="4" t="s">
        <v>23</v>
      </c>
      <c r="L92" s="7"/>
      <c r="M92" s="4"/>
    </row>
    <row r="93" customFormat="false" ht="23.85" hidden="false" customHeight="false" outlineLevel="0" collapsed="false">
      <c r="A93" s="4" t="n">
        <v>89</v>
      </c>
      <c r="B93" s="10" t="s">
        <v>489</v>
      </c>
      <c r="C93" s="4" t="s">
        <v>571</v>
      </c>
      <c r="D93" s="4" t="s">
        <v>540</v>
      </c>
      <c r="E93" s="4" t="s">
        <v>572</v>
      </c>
      <c r="F93" s="4" t="s">
        <v>573</v>
      </c>
      <c r="G93" s="4" t="s">
        <v>574</v>
      </c>
      <c r="H93" s="6" t="s">
        <v>575</v>
      </c>
      <c r="I93" s="4" t="s">
        <v>576</v>
      </c>
      <c r="J93" s="6" t="s">
        <v>22</v>
      </c>
      <c r="K93" s="4" t="s">
        <v>23</v>
      </c>
      <c r="L93" s="7"/>
      <c r="M93" s="4"/>
    </row>
    <row r="94" customFormat="false" ht="23.85" hidden="false" customHeight="false" outlineLevel="0" collapsed="false">
      <c r="A94" s="4" t="n">
        <v>90</v>
      </c>
      <c r="B94" s="10" t="s">
        <v>489</v>
      </c>
      <c r="C94" s="4" t="s">
        <v>577</v>
      </c>
      <c r="D94" s="4" t="s">
        <v>578</v>
      </c>
      <c r="E94" s="4" t="s">
        <v>579</v>
      </c>
      <c r="F94" s="4" t="s">
        <v>580</v>
      </c>
      <c r="G94" s="4" t="s">
        <v>20</v>
      </c>
      <c r="H94" s="6" t="s">
        <v>581</v>
      </c>
      <c r="I94" s="4" t="s">
        <v>582</v>
      </c>
      <c r="J94" s="6" t="s">
        <v>22</v>
      </c>
      <c r="K94" s="4" t="s">
        <v>23</v>
      </c>
      <c r="L94" s="7"/>
      <c r="M94" s="4"/>
    </row>
    <row r="95" customFormat="false" ht="23.85" hidden="false" customHeight="false" outlineLevel="0" collapsed="false">
      <c r="A95" s="4" t="n">
        <v>91</v>
      </c>
      <c r="B95" s="10" t="s">
        <v>489</v>
      </c>
      <c r="C95" s="4" t="s">
        <v>583</v>
      </c>
      <c r="D95" s="4" t="s">
        <v>584</v>
      </c>
      <c r="E95" s="4" t="s">
        <v>585</v>
      </c>
      <c r="F95" s="4" t="s">
        <v>586</v>
      </c>
      <c r="G95" s="4" t="s">
        <v>587</v>
      </c>
      <c r="H95" s="6" t="s">
        <v>588</v>
      </c>
      <c r="I95" s="4" t="s">
        <v>589</v>
      </c>
      <c r="J95" s="6" t="s">
        <v>22</v>
      </c>
      <c r="K95" s="4" t="s">
        <v>23</v>
      </c>
      <c r="L95" s="7"/>
      <c r="M95" s="4"/>
    </row>
    <row r="96" customFormat="false" ht="23.85" hidden="false" customHeight="false" outlineLevel="0" collapsed="false">
      <c r="A96" s="4" t="n">
        <v>92</v>
      </c>
      <c r="B96" s="10" t="s">
        <v>489</v>
      </c>
      <c r="C96" s="4" t="s">
        <v>590</v>
      </c>
      <c r="D96" s="4" t="s">
        <v>591</v>
      </c>
      <c r="E96" s="4" t="s">
        <v>592</v>
      </c>
      <c r="F96" s="4" t="s">
        <v>593</v>
      </c>
      <c r="G96" s="4" t="s">
        <v>594</v>
      </c>
      <c r="H96" s="6" t="s">
        <v>595</v>
      </c>
      <c r="I96" s="4" t="s">
        <v>596</v>
      </c>
      <c r="J96" s="6" t="s">
        <v>22</v>
      </c>
      <c r="K96" s="4" t="s">
        <v>23</v>
      </c>
      <c r="L96" s="7"/>
      <c r="M96" s="4"/>
    </row>
    <row r="97" customFormat="false" ht="23.85" hidden="false" customHeight="false" outlineLevel="0" collapsed="false">
      <c r="A97" s="4" t="n">
        <v>93</v>
      </c>
      <c r="B97" s="10" t="s">
        <v>489</v>
      </c>
      <c r="C97" s="4" t="s">
        <v>597</v>
      </c>
      <c r="D97" s="4" t="s">
        <v>598</v>
      </c>
      <c r="E97" s="4" t="s">
        <v>599</v>
      </c>
      <c r="F97" s="4" t="s">
        <v>600</v>
      </c>
      <c r="G97" s="4" t="s">
        <v>601</v>
      </c>
      <c r="H97" s="6" t="s">
        <v>602</v>
      </c>
      <c r="I97" s="4" t="s">
        <v>603</v>
      </c>
      <c r="J97" s="6" t="s">
        <v>22</v>
      </c>
      <c r="K97" s="4" t="s">
        <v>23</v>
      </c>
      <c r="L97" s="7"/>
      <c r="M97" s="4"/>
    </row>
    <row r="98" customFormat="false" ht="23.85" hidden="false" customHeight="false" outlineLevel="0" collapsed="false">
      <c r="A98" s="4" t="n">
        <v>94</v>
      </c>
      <c r="B98" s="10" t="s">
        <v>489</v>
      </c>
      <c r="C98" s="4" t="s">
        <v>604</v>
      </c>
      <c r="D98" s="4" t="s">
        <v>605</v>
      </c>
      <c r="E98" s="4" t="s">
        <v>606</v>
      </c>
      <c r="F98" s="4" t="s">
        <v>607</v>
      </c>
      <c r="G98" s="4" t="s">
        <v>20</v>
      </c>
      <c r="H98" s="6" t="s">
        <v>608</v>
      </c>
      <c r="I98" s="4" t="s">
        <v>609</v>
      </c>
      <c r="J98" s="6" t="s">
        <v>22</v>
      </c>
      <c r="K98" s="4" t="s">
        <v>23</v>
      </c>
      <c r="L98" s="7"/>
      <c r="M98" s="4"/>
    </row>
    <row r="99" customFormat="false" ht="23.85" hidden="false" customHeight="false" outlineLevel="0" collapsed="false">
      <c r="A99" s="4" t="n">
        <v>95</v>
      </c>
      <c r="B99" s="10" t="s">
        <v>489</v>
      </c>
      <c r="C99" s="4" t="s">
        <v>610</v>
      </c>
      <c r="D99" s="4" t="s">
        <v>611</v>
      </c>
      <c r="E99" s="4" t="s">
        <v>612</v>
      </c>
      <c r="F99" s="4" t="s">
        <v>613</v>
      </c>
      <c r="G99" s="4" t="s">
        <v>614</v>
      </c>
      <c r="H99" s="6" t="s">
        <v>615</v>
      </c>
      <c r="I99" s="4" t="s">
        <v>616</v>
      </c>
      <c r="J99" s="6" t="s">
        <v>22</v>
      </c>
      <c r="K99" s="4" t="s">
        <v>23</v>
      </c>
      <c r="L99" s="7"/>
      <c r="M99" s="4"/>
    </row>
    <row r="100" customFormat="false" ht="23.85" hidden="false" customHeight="false" outlineLevel="0" collapsed="false">
      <c r="A100" s="4" t="n">
        <v>96</v>
      </c>
      <c r="B100" s="10" t="s">
        <v>489</v>
      </c>
      <c r="C100" s="4" t="s">
        <v>617</v>
      </c>
      <c r="D100" s="4" t="s">
        <v>618</v>
      </c>
      <c r="E100" s="4" t="s">
        <v>619</v>
      </c>
      <c r="F100" s="4" t="s">
        <v>620</v>
      </c>
      <c r="G100" s="4" t="s">
        <v>20</v>
      </c>
      <c r="H100" s="6" t="s">
        <v>621</v>
      </c>
      <c r="I100" s="4" t="s">
        <v>622</v>
      </c>
      <c r="J100" s="6" t="s">
        <v>22</v>
      </c>
      <c r="K100" s="4" t="s">
        <v>23</v>
      </c>
      <c r="L100" s="7"/>
      <c r="M100" s="4"/>
    </row>
    <row r="101" customFormat="false" ht="23.85" hidden="false" customHeight="false" outlineLevel="0" collapsed="false">
      <c r="A101" s="4" t="n">
        <v>97</v>
      </c>
      <c r="B101" s="10" t="s">
        <v>489</v>
      </c>
      <c r="C101" s="4" t="s">
        <v>623</v>
      </c>
      <c r="D101" s="4" t="s">
        <v>624</v>
      </c>
      <c r="E101" s="4" t="s">
        <v>625</v>
      </c>
      <c r="F101" s="4" t="s">
        <v>626</v>
      </c>
      <c r="G101" s="4" t="s">
        <v>549</v>
      </c>
      <c r="H101" s="6" t="s">
        <v>627</v>
      </c>
      <c r="I101" s="4" t="s">
        <v>628</v>
      </c>
      <c r="J101" s="6" t="s">
        <v>22</v>
      </c>
      <c r="K101" s="4" t="s">
        <v>23</v>
      </c>
      <c r="L101" s="7"/>
      <c r="M101" s="4"/>
    </row>
    <row r="102" customFormat="false" ht="23.85" hidden="false" customHeight="false" outlineLevel="0" collapsed="false">
      <c r="A102" s="4" t="n">
        <v>98</v>
      </c>
      <c r="B102" s="10" t="s">
        <v>489</v>
      </c>
      <c r="C102" s="4" t="s">
        <v>629</v>
      </c>
      <c r="D102" s="4" t="s">
        <v>630</v>
      </c>
      <c r="E102" s="4" t="s">
        <v>631</v>
      </c>
      <c r="F102" s="4" t="s">
        <v>626</v>
      </c>
      <c r="G102" s="4" t="s">
        <v>20</v>
      </c>
      <c r="H102" s="6" t="s">
        <v>632</v>
      </c>
      <c r="I102" s="4" t="s">
        <v>633</v>
      </c>
      <c r="J102" s="6" t="s">
        <v>22</v>
      </c>
      <c r="K102" s="4" t="s">
        <v>23</v>
      </c>
      <c r="L102" s="7"/>
      <c r="M102" s="4"/>
    </row>
    <row r="103" customFormat="false" ht="23.85" hidden="false" customHeight="false" outlineLevel="0" collapsed="false">
      <c r="A103" s="4" t="n">
        <v>99</v>
      </c>
      <c r="B103" s="10" t="s">
        <v>489</v>
      </c>
      <c r="C103" s="4" t="s">
        <v>634</v>
      </c>
      <c r="D103" s="4" t="s">
        <v>624</v>
      </c>
      <c r="E103" s="4" t="s">
        <v>635</v>
      </c>
      <c r="F103" s="4" t="s">
        <v>636</v>
      </c>
      <c r="G103" s="4" t="s">
        <v>20</v>
      </c>
      <c r="H103" s="6" t="s">
        <v>637</v>
      </c>
      <c r="I103" s="4" t="s">
        <v>638</v>
      </c>
      <c r="J103" s="6" t="s">
        <v>22</v>
      </c>
      <c r="K103" s="4" t="s">
        <v>23</v>
      </c>
      <c r="L103" s="7"/>
      <c r="M103" s="4"/>
    </row>
    <row r="104" customFormat="false" ht="23.85" hidden="false" customHeight="false" outlineLevel="0" collapsed="false">
      <c r="A104" s="4" t="n">
        <v>100</v>
      </c>
      <c r="B104" s="10" t="s">
        <v>489</v>
      </c>
      <c r="C104" s="4" t="s">
        <v>639</v>
      </c>
      <c r="D104" s="4" t="s">
        <v>640</v>
      </c>
      <c r="E104" s="4" t="s">
        <v>641</v>
      </c>
      <c r="F104" s="4" t="s">
        <v>642</v>
      </c>
      <c r="G104" s="4" t="s">
        <v>549</v>
      </c>
      <c r="H104" s="6" t="s">
        <v>643</v>
      </c>
      <c r="I104" s="4" t="s">
        <v>644</v>
      </c>
      <c r="J104" s="6" t="s">
        <v>22</v>
      </c>
      <c r="K104" s="4" t="s">
        <v>23</v>
      </c>
      <c r="L104" s="7"/>
      <c r="M104" s="4"/>
    </row>
  </sheetData>
  <autoFilter ref="A4:M104"/>
  <mergeCells count="1">
    <mergeCell ref="A2:M2"/>
  </mergeCells>
  <dataValidations count="1">
    <dataValidation allowBlank="true" errorStyle="stop" operator="between" showDropDown="false" showErrorMessage="false" showInputMessage="false" sqref="K5:K104" type="list">
      <formula1>"לא פנינו,נשלחה פנייה,בשיחה,נקבעה הדגמה,לקוח,לא רלוונטי"</formula1>
      <formula2>0</formula2>
    </dataValidation>
  </dataValidations>
  <hyperlinks>
    <hyperlink ref="H5" r:id="rId1" display="schestowitz.co.il"/>
    <hyperlink ref="J5" r:id="rId2" display="קישור למקור"/>
    <hyperlink ref="H6" r:id="rId3" display="alpa-cosmetics.co.il"/>
    <hyperlink ref="J6" r:id="rId4" display="קישור למקור"/>
    <hyperlink ref="H7" r:id="rId5" display="lilit.co.il"/>
    <hyperlink ref="J7" r:id="rId6" display="קישור למקור"/>
    <hyperlink ref="H8" r:id="rId7" display="altman.co.il"/>
    <hyperlink ref="J8" r:id="rId8" display="קישור למקור"/>
    <hyperlink ref="H9" r:id="rId9" display="supherb.co.il"/>
    <hyperlink ref="J9" r:id="rId10" display="קישור למקור"/>
    <hyperlink ref="H10" r:id="rId11" display="chichlavin.com"/>
    <hyperlink ref="J10" r:id="rId12" display="קישור למקור"/>
    <hyperlink ref="H11" r:id="rId13" display="dr-fischer.co.il"/>
    <hyperlink ref="J11" r:id="rId14" display="קישור למקור"/>
    <hyperlink ref="H12" r:id="rId15" display="annalotan.com"/>
    <hyperlink ref="J12" r:id="rId16" display="קישור למקור"/>
    <hyperlink ref="H13" r:id="rId17" display="rekah.co.il"/>
    <hyperlink ref="J13" r:id="rId18" display="קישור למקור"/>
    <hyperlink ref="H14" r:id="rId19" display="gigi.co.il"/>
    <hyperlink ref="J14" r:id="rId20" display="קישור למקור"/>
    <hyperlink ref="H15" r:id="rId21" display="pharma-cosmetics.com"/>
    <hyperlink ref="J15" r:id="rId22" display="קישור למקור"/>
    <hyperlink ref="H16" r:id="rId23" display="commerce-line.co.il"/>
    <hyperlink ref="J16" r:id="rId24" display="קישור למקור"/>
    <hyperlink ref="H17" r:id="rId25" display="kcare.co.il"/>
    <hyperlink ref="J17" r:id="rId26" display="קישור למקור"/>
    <hyperlink ref="H18" r:id="rId27" display="fine-rituals.com"/>
    <hyperlink ref="J18" r:id="rId28" display="קישור למקור"/>
    <hyperlink ref="H19" r:id="rId29" display="hairlife.co.il"/>
    <hyperlink ref="J19" r:id="rId30" display="קישור למקור"/>
    <hyperlink ref="H20" r:id="rId31" display="gidoncosmetics.co.il"/>
    <hyperlink ref="J20" r:id="rId32" display="קישור למקור"/>
    <hyperlink ref="J21" r:id="rId33" display="קישור למקור"/>
    <hyperlink ref="H22" r:id="rId34" display="lavido.com"/>
    <hyperlink ref="J22" r:id="rId35" display="קישור למקור"/>
    <hyperlink ref="H23" r:id="rId36" display="careline.co.il"/>
    <hyperlink ref="J23" r:id="rId37" display="קישור למקור"/>
    <hyperlink ref="H24" r:id="rId38" display="biopeptix.com"/>
    <hyperlink ref="J24" r:id="rId39" display="קישור למקור"/>
    <hyperlink ref="J25" r:id="rId40" display="קישור למקור"/>
    <hyperlink ref="H26" r:id="rId41" display="churishop.co.il"/>
    <hyperlink ref="J26" r:id="rId42" display="קישור למקור"/>
    <hyperlink ref="H27" r:id="rId43" display="sano.co.il"/>
    <hyperlink ref="J27" r:id="rId44" display="קישור למקור"/>
    <hyperlink ref="H28" r:id="rId45" display="s-schwartz.com"/>
    <hyperlink ref="J28" r:id="rId46" display="קישור למקור"/>
    <hyperlink ref="H29" r:id="rId47" display="diplomat-global.com"/>
    <hyperlink ref="J29" r:id="rId48" display="קישור למקור"/>
    <hyperlink ref="H30" r:id="rId49" display="willi-food.co.il"/>
    <hyperlink ref="J30" r:id="rId50" display="קישור למקור"/>
    <hyperlink ref="H31" r:id="rId51" display="taaman.co.il"/>
    <hyperlink ref="J31" r:id="rId52" display="קישור למקור"/>
    <hyperlink ref="H32" r:id="rId53" display="adomgroup.com"/>
    <hyperlink ref="J32" r:id="rId54" display="קישור למקור"/>
    <hyperlink ref="H33" r:id="rId55" display="anshel.com"/>
    <hyperlink ref="J33" r:id="rId56" display="קישור למקור"/>
    <hyperlink ref="H34" r:id="rId57" display="israco.co.il"/>
    <hyperlink ref="J34" r:id="rId58" display="קישור למקור"/>
    <hyperlink ref="H35" r:id="rId59" display="tomerltd.co.il"/>
    <hyperlink ref="J35" r:id="rId60" display="קישור למקור"/>
    <hyperlink ref="H36" r:id="rId61" display="robertofood.com"/>
    <hyperlink ref="J36" r:id="rId62" display="קישור למקור"/>
    <hyperlink ref="H37" r:id="rId63" display="latfood.co.il"/>
    <hyperlink ref="J37" r:id="rId64" display="קישור למקור"/>
    <hyperlink ref="H38" r:id="rId65" display="rmt-ltd.com"/>
    <hyperlink ref="J38" r:id="rId66" display="קישור למקור"/>
    <hyperlink ref="H39" r:id="rId67" display="meshukladis.com"/>
    <hyperlink ref="J39" r:id="rId68" display="קישור למקור"/>
    <hyperlink ref="H40" r:id="rId69" display="moryam.co.il"/>
    <hyperlink ref="J40" r:id="rId70" display="קישור למקור"/>
    <hyperlink ref="H41" r:id="rId71" display="y-shabi.co.il"/>
    <hyperlink ref="J41" r:id="rId72" display="קישור למקור"/>
    <hyperlink ref="H42" r:id="rId73" display="agmfood.co.il"/>
    <hyperlink ref="J42" r:id="rId74" display="קישור למקור"/>
    <hyperlink ref="H43" r:id="rId75" display="cohenb.com"/>
    <hyperlink ref="J43" r:id="rId76" display="קישור למקור"/>
    <hyperlink ref="H44" r:id="rId77" display="hborganic.co.il"/>
    <hyperlink ref="J44" r:id="rId78" display="קישור למקור"/>
    <hyperlink ref="H45" r:id="rId79" display="school-market.co.il"/>
    <hyperlink ref="J45" r:id="rId80" display="קישור למקור"/>
    <hyperlink ref="H46" r:id="rId81" display="zaafrany.co.il"/>
    <hyperlink ref="J46" r:id="rId82" display="קישור למקור"/>
    <hyperlink ref="H47" r:id="rId83" display="tav-faran.co.il"/>
    <hyperlink ref="J47" r:id="rId84" display="קישור למקור"/>
    <hyperlink ref="H48" r:id="rId85" display="neve-t.co.il"/>
    <hyperlink ref="J48" r:id="rId86" display="קישור למקור"/>
    <hyperlink ref="H49" r:id="rId87" display="tavlineypereg.co.il"/>
    <hyperlink ref="J49" r:id="rId88" display="קישור למקור"/>
    <hyperlink ref="H50" r:id="rId89" display="kafuzan.co.il"/>
    <hyperlink ref="J50" r:id="rId90" display="קישור למקור"/>
    <hyperlink ref="H51" r:id="rId91" display="matamim.co.il"/>
    <hyperlink ref="J51" r:id="rId92" display="קישור למקור"/>
    <hyperlink ref="H52" r:id="rId93" display="hacarem.com"/>
    <hyperlink ref="J52" r:id="rId94" display="קישור למקור"/>
    <hyperlink ref="H53" r:id="rId95" display="halva.co.il"/>
    <hyperlink ref="J53" r:id="rId96" display="קישור למקור"/>
    <hyperlink ref="H54" r:id="rId97" display="neeman-ltd.co.il"/>
    <hyperlink ref="J54" r:id="rId98" display="קישור למקור"/>
    <hyperlink ref="H55" r:id="rId99" display="kapro.com"/>
    <hyperlink ref="J55" r:id="rId100" display="קישור למקור"/>
    <hyperlink ref="H56" r:id="rId101" display="nirlat.com"/>
    <hyperlink ref="J56" r:id="rId102" display="קישור למקור"/>
    <hyperlink ref="H57" r:id="rId103" display="tambour.co.il"/>
    <hyperlink ref="J57" r:id="rId104" display="קישור למקור"/>
    <hyperlink ref="H58" r:id="rId105" display="lkltd.co.il"/>
    <hyperlink ref="J58" r:id="rId106" display="קישור למקור"/>
    <hyperlink ref="H59" r:id="rId107" display="prt.co.il"/>
    <hyperlink ref="J59" r:id="rId108" display="קישור למקור"/>
    <hyperlink ref="H60" r:id="rId109" display="pro-safety.co.il"/>
    <hyperlink ref="J60" r:id="rId110" display="קישור למקור"/>
    <hyperlink ref="H61" r:id="rId111" display="argentools.co.il"/>
    <hyperlink ref="J61" r:id="rId112" display="קישור למקור"/>
    <hyperlink ref="H62" r:id="rId113" display="huge-tools.com"/>
    <hyperlink ref="J62" r:id="rId114" display="קישור למקור"/>
    <hyperlink ref="H63" r:id="rId115" display="gilar.co.il"/>
    <hyperlink ref="J63" r:id="rId116" display="קישור למקור"/>
    <hyperlink ref="H64" r:id="rId117" display="technobar.co.il"/>
    <hyperlink ref="J64" r:id="rId118" display="קישור למקור"/>
    <hyperlink ref="H65" r:id="rId119" display="uboparts.co.il"/>
    <hyperlink ref="J65" r:id="rId120" display="קישור למקור"/>
    <hyperlink ref="H66" r:id="rId121" display="liquimoly.co.il"/>
    <hyperlink ref="J66" r:id="rId122" display="קישור למקור"/>
    <hyperlink ref="H67" r:id="rId123" display="mavosh.co.il"/>
    <hyperlink ref="J67" r:id="rId124" display="קישור למקור"/>
    <hyperlink ref="H68" r:id="rId125" display="devtec.co.il"/>
    <hyperlink ref="J68" r:id="rId126" display="קישור למקור"/>
    <hyperlink ref="H69" r:id="rId127" display="zoko.co.il"/>
    <hyperlink ref="J69" r:id="rId128" display="קישור למקור"/>
    <hyperlink ref="H70" r:id="rId129" display="glikman-or.co.il"/>
    <hyperlink ref="J70" r:id="rId130" display="קישור למקור"/>
    <hyperlink ref="H71" r:id="rId131" display="saltech.co.il"/>
    <hyperlink ref="J71" r:id="rId132" display="קישור למקור"/>
    <hyperlink ref="H72" r:id="rId133" display="alfatek.co.il"/>
    <hyperlink ref="J72" r:id="rId134" display="קישור למקור"/>
    <hyperlink ref="H73" r:id="rId135" display="ofirsapakim.co.il"/>
    <hyperlink ref="J73" r:id="rId136" display="קישור למקור"/>
    <hyperlink ref="H74" r:id="rId137" display="davik.co.il"/>
    <hyperlink ref="J74" r:id="rId138" display="קישור למקור"/>
    <hyperlink ref="H75" r:id="rId139" display="isralak.co.il"/>
    <hyperlink ref="J75" r:id="rId140" display="קישור למקור"/>
    <hyperlink ref="H76" r:id="rId141" display="denber.net"/>
    <hyperlink ref="J76" r:id="rId142" display="קישור למקור"/>
    <hyperlink ref="H77" r:id="rId143" display="toolgal.com"/>
    <hyperlink ref="J77" r:id="rId144" display="קישור למקור"/>
    <hyperlink ref="H78" r:id="rId145" display="petrotech.co.il"/>
    <hyperlink ref="J78" r:id="rId146" display="קישור למקור"/>
    <hyperlink ref="H79" r:id="rId147" display="schnapp.co.il"/>
    <hyperlink ref="J79" r:id="rId148" display="קישור למקור"/>
    <hyperlink ref="H80" r:id="rId149" display="mfcl.co.il"/>
    <hyperlink ref="J80" r:id="rId150" display="קישור למקור"/>
    <hyperlink ref="H81" r:id="rId151" display="dynotc.co.il"/>
    <hyperlink ref="J81" r:id="rId152" display="קישור למקור"/>
    <hyperlink ref="H82" r:id="rId153" display="medikal.co.il"/>
    <hyperlink ref="J82" r:id="rId154" display="קישור למקור"/>
    <hyperlink ref="H83" r:id="rId155" display="belmonthm.com"/>
    <hyperlink ref="J83" r:id="rId156" display="קישור למקור"/>
    <hyperlink ref="H84" r:id="rId157" display="dentalcenter-er.com"/>
    <hyperlink ref="J84" r:id="rId158" display="קישור למקור"/>
    <hyperlink ref="H85" r:id="rId159" display="matov.co.il"/>
    <hyperlink ref="J85" r:id="rId160" display="קישור למקור"/>
    <hyperlink ref="H86" r:id="rId161" display="savion.co.il"/>
    <hyperlink ref="J86" r:id="rId162" display="קישור למקור"/>
    <hyperlink ref="H87" r:id="rId163" display="kalir.net"/>
    <hyperlink ref="J87" r:id="rId164" display="קישור למקור"/>
    <hyperlink ref="H88" r:id="rId165" display="mapet.co.il"/>
    <hyperlink ref="J88" r:id="rId166" display="קישור למקור"/>
    <hyperlink ref="H89" r:id="rId167" display="petsland.co.il"/>
    <hyperlink ref="J89" r:id="rId168" display="קישור למקור"/>
    <hyperlink ref="H90" r:id="rId169" display="vincentpet.co.il"/>
    <hyperlink ref="J90" r:id="rId170" display="קישור למקור"/>
    <hyperlink ref="H91" r:id="rId171" display="contipet.co.il"/>
    <hyperlink ref="J91" r:id="rId172" display="קישור למקור"/>
    <hyperlink ref="H92" r:id="rId173" display="pawly.co.il"/>
    <hyperlink ref="J92" r:id="rId174" display="קישור למקור"/>
    <hyperlink ref="H93" r:id="rId175" display="holypet.co.il"/>
    <hyperlink ref="J93" r:id="rId176" display="קישור למקור"/>
    <hyperlink ref="H94" r:id="rId177" display="galnir.co.il"/>
    <hyperlink ref="J94" r:id="rId178" display="קישור למקור"/>
    <hyperlink ref="H95" r:id="rId179" display="rdolifant.co.il"/>
    <hyperlink ref="J95" r:id="rId180" display="קישור למקור"/>
    <hyperlink ref="H96" r:id="rId181" display="starprofessional.co.il"/>
    <hyperlink ref="J96" r:id="rId182" display="קישור למקור"/>
    <hyperlink ref="H97" r:id="rId183" display="globalclean.co.il"/>
    <hyperlink ref="J97" r:id="rId184" display="קישור למקור"/>
    <hyperlink ref="H98" r:id="rId185" display="officeyashir.co.il"/>
    <hyperlink ref="J98" r:id="rId186" display="קישור למקור"/>
    <hyperlink ref="H99" r:id="rId187" display="ml-create.co.il"/>
    <hyperlink ref="J99" r:id="rId188" display="קישור למקור"/>
    <hyperlink ref="H100" r:id="rId189" display="5com.co.il"/>
    <hyperlink ref="J100" r:id="rId190" display="קישור למקור"/>
    <hyperlink ref="H101" r:id="rId191" display="isratoys.co.il"/>
    <hyperlink ref="J101" r:id="rId192" display="קישור למקור"/>
    <hyperlink ref="H102" r:id="rId193" display="foxmind.co.il"/>
    <hyperlink ref="J102" r:id="rId194" display="קישור למקור"/>
    <hyperlink ref="H103" r:id="rId195" display="kodkod.co.il"/>
    <hyperlink ref="J103" r:id="rId196" display="קישור למקור"/>
    <hyperlink ref="H104" r:id="rId197" display="topplay-toys.co.il"/>
    <hyperlink ref="J104" r:id="rId198" display="קישור למקור"/>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9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4" min="2" style="0" width="14"/>
  </cols>
  <sheetData>
    <row r="1" customFormat="false" ht="16.15" hidden="false" customHeight="false" outlineLevel="0" collapsed="false">
      <c r="A1" s="11" t="s">
        <v>645</v>
      </c>
    </row>
    <row r="3" customFormat="false" ht="15" hidden="false" customHeight="false" outlineLevel="0" collapsed="false">
      <c r="A3" s="12" t="s">
        <v>3</v>
      </c>
      <c r="B3" s="12" t="s">
        <v>646</v>
      </c>
      <c r="C3" s="12" t="s">
        <v>647</v>
      </c>
      <c r="D3" s="12" t="s">
        <v>648</v>
      </c>
    </row>
    <row r="4" customFormat="false" ht="15" hidden="false" customHeight="false" outlineLevel="0" collapsed="false">
      <c r="A4" s="13" t="s">
        <v>15</v>
      </c>
      <c r="B4" s="13" t="n">
        <f aca="false">COUNTIF('לקוחות פוטנציאליים'!$B$5:$B$104,A4)</f>
        <v>24</v>
      </c>
      <c r="C4" s="13" t="n">
        <f aca="false">COUNTIFS('לקוחות פוטנציאליים'!$B$5:$B$104,A4,'לקוחות פוטנציאליים'!$K$5:$K$104,"נקבעה הדגמה")</f>
        <v>0</v>
      </c>
      <c r="D4" s="13" t="n">
        <f aca="false">COUNTIFS('לקוחות פוטנציאליים'!$B$5:$B$104,A4,'לקוחות פוטנציאליים'!$K$5:$K$104,"לקוח")</f>
        <v>0</v>
      </c>
    </row>
    <row r="5" customFormat="false" ht="15" hidden="false" customHeight="false" outlineLevel="0" collapsed="false">
      <c r="A5" s="13" t="s">
        <v>162</v>
      </c>
      <c r="B5" s="13" t="n">
        <f aca="false">COUNTIF('לקוחות פוטנציאליים'!$B$5:$B$104,A5)</f>
        <v>26</v>
      </c>
      <c r="C5" s="13" t="n">
        <f aca="false">COUNTIFS('לקוחות פוטנציאליים'!$B$5:$B$104,A5,'לקוחות פוטנציאליים'!$K$5:$K$104,"נקבעה הדגמה")</f>
        <v>0</v>
      </c>
      <c r="D5" s="13" t="n">
        <f aca="false">COUNTIFS('לקוחות פוטנציאליים'!$B$5:$B$104,A5,'לקוחות פוטנציאליים'!$K$5:$K$104,"לקוח")</f>
        <v>0</v>
      </c>
    </row>
    <row r="6" customFormat="false" ht="15" hidden="false" customHeight="false" outlineLevel="0" collapsed="false">
      <c r="A6" s="13" t="s">
        <v>328</v>
      </c>
      <c r="B6" s="13" t="n">
        <f aca="false">COUNTIF('לקוחות פוטנציאליים'!$B$5:$B$104,A6)</f>
        <v>25</v>
      </c>
      <c r="C6" s="13" t="n">
        <f aca="false">COUNTIFS('לקוחות פוטנציאליים'!$B$5:$B$104,A6,'לקוחות פוטנציאליים'!$K$5:$K$104,"נקבעה הדגמה")</f>
        <v>0</v>
      </c>
      <c r="D6" s="13" t="n">
        <f aca="false">COUNTIFS('לקוחות פוטנציאליים'!$B$5:$B$104,A6,'לקוחות פוטנציאליים'!$K$5:$K$104,"לקוח")</f>
        <v>0</v>
      </c>
    </row>
    <row r="7" customFormat="false" ht="15" hidden="false" customHeight="false" outlineLevel="0" collapsed="false">
      <c r="A7" s="13" t="s">
        <v>489</v>
      </c>
      <c r="B7" s="13" t="n">
        <f aca="false">COUNTIF('לקוחות פוטנציאליים'!$B$5:$B$104,A7)</f>
        <v>25</v>
      </c>
      <c r="C7" s="13" t="n">
        <f aca="false">COUNTIFS('לקוחות פוטנציאליים'!$B$5:$B$104,A7,'לקוחות פוטנציאליים'!$K$5:$K$104,"נקבעה הדגמה")</f>
        <v>0</v>
      </c>
      <c r="D7" s="13" t="n">
        <f aca="false">COUNTIFS('לקוחות פוטנציאליים'!$B$5:$B$104,A7,'לקוחות פוטנציאליים'!$K$5:$K$104,"לקוח")</f>
        <v>0</v>
      </c>
    </row>
    <row r="8" customFormat="false" ht="15" hidden="false" customHeight="false" outlineLevel="0" collapsed="false">
      <c r="A8" s="14" t="s">
        <v>649</v>
      </c>
      <c r="B8" s="14" t="n">
        <f aca="false">SUM(B4:B7)</f>
        <v>100</v>
      </c>
      <c r="C8" s="14" t="n">
        <f aca="false">SUM(C4:C7)</f>
        <v>0</v>
      </c>
      <c r="D8" s="14" t="n">
        <f aca="false">SUM(D4:D7)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2026-10-08T19:17:17Z</dcterms:created>
  <dc:creator>openpyxl</dc:creator>
  <dc:description/>
  <dc:language>en-US</dc:language>
  <cp:lastModifiedBy/>
  <dcterms:modified xsi:type="dcterms:W3CDTF">2026-10-08T19:17:17Z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